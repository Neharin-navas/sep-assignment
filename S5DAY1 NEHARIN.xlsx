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Orders" sheetId="1" r:id="rId5"/>
  </sheets>
  <definedNames/>
  <calcPr/>
</workbook>
</file>

<file path=xl/sharedStrings.xml><?xml version="1.0" encoding="utf-8"?>
<sst xmlns="http://schemas.openxmlformats.org/spreadsheetml/2006/main" count="145" uniqueCount="33">
  <si>
    <t>OrderDate</t>
  </si>
  <si>
    <t>Region</t>
  </si>
  <si>
    <t>Rep</t>
  </si>
  <si>
    <t>Item</t>
  </si>
  <si>
    <t>Units</t>
  </si>
  <si>
    <t>Unit Cost</t>
  </si>
  <si>
    <t>Total</t>
  </si>
  <si>
    <t>category</t>
  </si>
  <si>
    <t>classify</t>
  </si>
  <si>
    <t>concat</t>
  </si>
  <si>
    <t>East</t>
  </si>
  <si>
    <t>Jones</t>
  </si>
  <si>
    <t>Pencil</t>
  </si>
  <si>
    <t>Central</t>
  </si>
  <si>
    <t>Kivell</t>
  </si>
  <si>
    <t>Binder</t>
  </si>
  <si>
    <t>Jardine</t>
  </si>
  <si>
    <t>QUESTIION  NO</t>
  </si>
  <si>
    <t>ANSWER</t>
  </si>
  <si>
    <t>Gill</t>
  </si>
  <si>
    <t>Pen</t>
  </si>
  <si>
    <t>West</t>
  </si>
  <si>
    <t>Sorvino</t>
  </si>
  <si>
    <t>DONE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</si>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</sst>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0_);\(0.00\)"/>
  </numFmts>
  <fonts count="5">
    <font>
      <sz val="14.0"/>
      <color rgb="FF000000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165" xfId="0" applyAlignment="1" applyFont="1" applyNumberFormat="1">
      <alignment vertical="center"/>
    </xf>
    <xf borderId="0" fillId="0" fontId="2" numFmtId="165" xfId="0" applyAlignment="1" applyFont="1" applyNumberFormat="1">
      <alignment readingOrder="0" vertical="center"/>
    </xf>
    <xf borderId="0" fillId="0" fontId="2" numFmtId="165" xfId="0" applyAlignment="1" applyFont="1" applyNumberFormat="1">
      <alignment vertical="center"/>
    </xf>
    <xf borderId="0" fillId="0" fontId="4" numFmtId="0" xfId="0" applyFont="1"/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11.6"/>
    <col customWidth="1" min="2" max="2" width="8.7"/>
    <col customWidth="1" min="3" max="3" width="9.6"/>
    <col customWidth="1" min="4" max="4" width="7.7"/>
    <col customWidth="1" min="5" max="5" width="7.3"/>
    <col customWidth="1" min="6" max="6" width="10.6"/>
    <col customWidth="1" min="7" max="7" width="10.1"/>
    <col customWidth="1" min="8" max="11" width="9.1"/>
    <col customWidth="1" min="12" max="12" width="14.3"/>
    <col customWidth="1" min="13" max="27" width="9.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/>
      <c r="K1" s="5"/>
      <c r="L1" s="4" t="s">
        <v>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4.25" customHeight="1">
      <c r="A2" s="6">
        <v>46028.0</v>
      </c>
      <c r="B2" s="7" t="s">
        <v>10</v>
      </c>
      <c r="C2" s="7" t="s">
        <v>11</v>
      </c>
      <c r="D2" s="8" t="s">
        <v>12</v>
      </c>
      <c r="E2" s="7">
        <v>95.0</v>
      </c>
      <c r="F2" s="9">
        <v>1.99</v>
      </c>
      <c r="G2" s="9">
        <v>189.05</v>
      </c>
      <c r="H2" s="5" t="str">
        <f t="shared" ref="H2:H44" si="1">IF(G2:G44&gt;500,"HIgh Value","Standard")</f>
        <v>Standard</v>
      </c>
      <c r="I2" s="5" t="str">
        <f t="shared" ref="I2:I44" si="2">IFS(E2:E44&gt;75,"Bulk",AND(E2:E44&gt;30 ,E2:E44&lt;=75),"Medium",E2:E44&lt;30,"Small")</f>
        <v>Bulk</v>
      </c>
      <c r="J2" s="5"/>
      <c r="K2" s="5"/>
      <c r="L2" s="5" t="str">
        <f t="shared" ref="L2:L44" si="3">CONCATENATE(C2,"-",B1)</f>
        <v>Jones-Region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4.25" customHeight="1">
      <c r="A3" s="6">
        <v>46045.0</v>
      </c>
      <c r="B3" s="7" t="s">
        <v>13</v>
      </c>
      <c r="C3" s="7" t="s">
        <v>14</v>
      </c>
      <c r="D3" s="8" t="s">
        <v>15</v>
      </c>
      <c r="E3" s="7">
        <v>50.0</v>
      </c>
      <c r="F3" s="9">
        <v>19.99</v>
      </c>
      <c r="G3" s="9">
        <v>999.4999999999999</v>
      </c>
      <c r="H3" s="5" t="str">
        <f t="shared" si="1"/>
        <v>HIgh Value</v>
      </c>
      <c r="I3" s="5" t="str">
        <f t="shared" si="2"/>
        <v>Medium</v>
      </c>
      <c r="J3" s="5"/>
      <c r="K3" s="5"/>
      <c r="L3" s="5" t="str">
        <f t="shared" si="3"/>
        <v>Kivell-East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4.25" customHeight="1">
      <c r="A4" s="6">
        <v>46062.0</v>
      </c>
      <c r="B4" s="7" t="s">
        <v>13</v>
      </c>
      <c r="C4" s="7" t="s">
        <v>16</v>
      </c>
      <c r="D4" s="8" t="s">
        <v>12</v>
      </c>
      <c r="E4" s="7">
        <v>36.0</v>
      </c>
      <c r="F4" s="9">
        <v>4.99</v>
      </c>
      <c r="G4" s="9">
        <v>179.64000000000001</v>
      </c>
      <c r="H4" s="5" t="str">
        <f t="shared" si="1"/>
        <v>Standard</v>
      </c>
      <c r="I4" s="5" t="str">
        <f t="shared" si="2"/>
        <v>Medium</v>
      </c>
      <c r="J4" s="4" t="s">
        <v>17</v>
      </c>
      <c r="K4" s="4" t="s">
        <v>18</v>
      </c>
      <c r="L4" s="5" t="str">
        <f t="shared" si="3"/>
        <v>Jardine-Central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4.25" customHeight="1">
      <c r="A5" s="6">
        <v>46079.0</v>
      </c>
      <c r="B5" s="7" t="s">
        <v>13</v>
      </c>
      <c r="C5" s="7" t="s">
        <v>19</v>
      </c>
      <c r="D5" s="8" t="s">
        <v>20</v>
      </c>
      <c r="E5" s="7">
        <v>27.0</v>
      </c>
      <c r="F5" s="9">
        <v>19.99</v>
      </c>
      <c r="G5" s="9">
        <v>539.7299999999999</v>
      </c>
      <c r="H5" s="5" t="str">
        <f t="shared" si="1"/>
        <v>HIgh Value</v>
      </c>
      <c r="I5" s="5" t="str">
        <f t="shared" si="2"/>
        <v>Small</v>
      </c>
      <c r="J5" s="4">
        <v>1.0</v>
      </c>
      <c r="K5" s="5">
        <f>COUNTBLANK(G2:G44)</f>
        <v>0</v>
      </c>
      <c r="L5" s="5" t="str">
        <f t="shared" si="3"/>
        <v>Gill-Central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4.25" customHeight="1">
      <c r="A6" s="6">
        <v>46096.0</v>
      </c>
      <c r="B6" s="7" t="s">
        <v>21</v>
      </c>
      <c r="C6" s="7" t="s">
        <v>22</v>
      </c>
      <c r="D6" s="8" t="s">
        <v>12</v>
      </c>
      <c r="E6" s="7">
        <v>56.0</v>
      </c>
      <c r="F6" s="9">
        <v>2.99</v>
      </c>
      <c r="G6" s="9">
        <f>MULTIPLY(E6,F6)</f>
        <v>167.44</v>
      </c>
      <c r="H6" s="5" t="str">
        <f t="shared" si="1"/>
        <v>Standard</v>
      </c>
      <c r="I6" s="5" t="str">
        <f t="shared" si="2"/>
        <v>Medium</v>
      </c>
      <c r="J6" s="4">
        <v>2.0</v>
      </c>
      <c r="K6" s="5">
        <f>COUNTA(G2:G44)</f>
        <v>43</v>
      </c>
      <c r="L6" s="5" t="str">
        <f t="shared" si="3"/>
        <v>Sorvino-Central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4.25" customHeight="1">
      <c r="A7" s="6">
        <v>46113.0</v>
      </c>
      <c r="B7" s="7" t="s">
        <v>10</v>
      </c>
      <c r="C7" s="7" t="s">
        <v>11</v>
      </c>
      <c r="D7" s="8" t="s">
        <v>15</v>
      </c>
      <c r="E7" s="7">
        <v>60.0</v>
      </c>
      <c r="F7" s="9">
        <v>4.99</v>
      </c>
      <c r="G7" s="9">
        <v>299.40000000000003</v>
      </c>
      <c r="H7" s="5" t="str">
        <f t="shared" si="1"/>
        <v>Standard</v>
      </c>
      <c r="I7" s="5" t="str">
        <f t="shared" si="2"/>
        <v>Medium</v>
      </c>
      <c r="J7" s="4">
        <v>3.0</v>
      </c>
      <c r="K7" s="4" t="s">
        <v>23</v>
      </c>
      <c r="L7" s="5" t="str">
        <f t="shared" si="3"/>
        <v>Jones-West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4.25" customHeight="1">
      <c r="A8" s="6">
        <v>46130.0</v>
      </c>
      <c r="B8" s="7" t="s">
        <v>13</v>
      </c>
      <c r="C8" s="7" t="s">
        <v>24</v>
      </c>
      <c r="D8" s="8" t="s">
        <v>12</v>
      </c>
      <c r="E8" s="7">
        <v>75.0</v>
      </c>
      <c r="F8" s="9">
        <v>1.99</v>
      </c>
      <c r="G8" s="9">
        <v>149.25</v>
      </c>
      <c r="H8" s="5" t="str">
        <f t="shared" si="1"/>
        <v>Standard</v>
      </c>
      <c r="I8" s="5" t="str">
        <f t="shared" si="2"/>
        <v>Medium</v>
      </c>
      <c r="J8" s="4">
        <v>4.0</v>
      </c>
      <c r="K8" s="10">
        <f>SUM(G2:G44)</f>
        <v>19627.88</v>
      </c>
      <c r="L8" s="5" t="str">
        <f t="shared" si="3"/>
        <v>Andrews-East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4.25" customHeight="1">
      <c r="A9" s="6">
        <v>46147.0</v>
      </c>
      <c r="B9" s="7" t="s">
        <v>13</v>
      </c>
      <c r="C9" s="7" t="s">
        <v>16</v>
      </c>
      <c r="D9" s="8" t="s">
        <v>12</v>
      </c>
      <c r="E9" s="7">
        <v>90.0</v>
      </c>
      <c r="F9" s="9">
        <v>4.99</v>
      </c>
      <c r="G9" s="9">
        <v>449.1</v>
      </c>
      <c r="H9" s="5" t="str">
        <f t="shared" si="1"/>
        <v>Standard</v>
      </c>
      <c r="I9" s="5" t="str">
        <f t="shared" si="2"/>
        <v>Bulk</v>
      </c>
      <c r="J9" s="4">
        <v>5.0</v>
      </c>
      <c r="K9" s="5">
        <f>COUNT(G2:G44)</f>
        <v>43</v>
      </c>
      <c r="L9" s="5" t="str">
        <f t="shared" si="3"/>
        <v>Jardine-Central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4.25" customHeight="1">
      <c r="A10" s="6">
        <v>46164.0</v>
      </c>
      <c r="B10" s="7" t="s">
        <v>21</v>
      </c>
      <c r="C10" s="7" t="s">
        <v>25</v>
      </c>
      <c r="D10" s="8" t="s">
        <v>12</v>
      </c>
      <c r="E10" s="7">
        <v>32.0</v>
      </c>
      <c r="F10" s="9">
        <v>1.99</v>
      </c>
      <c r="G10" s="9">
        <v>63.68</v>
      </c>
      <c r="H10" s="5" t="str">
        <f t="shared" si="1"/>
        <v>Standard</v>
      </c>
      <c r="I10" s="5" t="str">
        <f t="shared" si="2"/>
        <v>Medium</v>
      </c>
      <c r="J10" s="4">
        <v>6.0</v>
      </c>
      <c r="K10" s="11">
        <f>AVERAGE(F2:F44)</f>
        <v>20.30860465</v>
      </c>
      <c r="L10" s="5" t="str">
        <f t="shared" si="3"/>
        <v>Thompson-Central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4.25" customHeight="1">
      <c r="A11" s="6">
        <v>46181.0</v>
      </c>
      <c r="B11" s="7" t="s">
        <v>10</v>
      </c>
      <c r="C11" s="7" t="s">
        <v>11</v>
      </c>
      <c r="D11" s="8" t="s">
        <v>15</v>
      </c>
      <c r="E11" s="7">
        <v>60.0</v>
      </c>
      <c r="F11" s="9">
        <v>8.99</v>
      </c>
      <c r="G11" s="9">
        <v>539.4</v>
      </c>
      <c r="H11" s="5" t="str">
        <f t="shared" si="1"/>
        <v>HIgh Value</v>
      </c>
      <c r="I11" s="5" t="str">
        <f t="shared" si="2"/>
        <v>Medium</v>
      </c>
      <c r="J11" s="4">
        <v>7.0</v>
      </c>
      <c r="K11" s="5">
        <f>MAX(E2:E44)</f>
        <v>96</v>
      </c>
      <c r="L11" s="5" t="str">
        <f t="shared" si="3"/>
        <v>Jones-West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4.25" customHeight="1">
      <c r="A12" s="6">
        <v>46198.0</v>
      </c>
      <c r="B12" s="7" t="s">
        <v>13</v>
      </c>
      <c r="C12" s="7" t="s">
        <v>26</v>
      </c>
      <c r="D12" s="8" t="s">
        <v>12</v>
      </c>
      <c r="E12" s="7">
        <v>90.0</v>
      </c>
      <c r="F12" s="9">
        <v>4.99</v>
      </c>
      <c r="G12" s="9">
        <v>449.1</v>
      </c>
      <c r="H12" s="5" t="str">
        <f t="shared" si="1"/>
        <v>Standard</v>
      </c>
      <c r="I12" s="5" t="str">
        <f t="shared" si="2"/>
        <v>Bulk</v>
      </c>
      <c r="J12" s="4">
        <v>8.0</v>
      </c>
      <c r="K12" s="5">
        <f>MIN(E2:E44)</f>
        <v>2</v>
      </c>
      <c r="L12" s="5" t="str">
        <f t="shared" si="3"/>
        <v>Morgan-East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4.25" customHeight="1">
      <c r="A13" s="6">
        <v>46215.0</v>
      </c>
      <c r="B13" s="7" t="s">
        <v>10</v>
      </c>
      <c r="C13" s="7" t="s">
        <v>27</v>
      </c>
      <c r="D13" s="8" t="s">
        <v>15</v>
      </c>
      <c r="E13" s="7">
        <v>29.0</v>
      </c>
      <c r="F13" s="9">
        <v>1.99</v>
      </c>
      <c r="G13" s="9">
        <v>57.71</v>
      </c>
      <c r="H13" s="5" t="str">
        <f t="shared" si="1"/>
        <v>Standard</v>
      </c>
      <c r="I13" s="5" t="str">
        <f t="shared" si="2"/>
        <v>Small</v>
      </c>
      <c r="J13" s="4">
        <v>9.0</v>
      </c>
      <c r="K13" s="5">
        <f>COUNTIF(D2:D44,"Pencil")</f>
        <v>13</v>
      </c>
      <c r="L13" s="5" t="str">
        <f t="shared" si="3"/>
        <v>Howard-Central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4.25" customHeight="1">
      <c r="A14" s="6">
        <v>46232.0</v>
      </c>
      <c r="B14" s="7" t="s">
        <v>10</v>
      </c>
      <c r="C14" s="7" t="s">
        <v>28</v>
      </c>
      <c r="D14" s="8" t="s">
        <v>15</v>
      </c>
      <c r="E14" s="7">
        <v>81.0</v>
      </c>
      <c r="F14" s="9">
        <v>19.99</v>
      </c>
      <c r="G14" s="9">
        <v>1619.1899999999998</v>
      </c>
      <c r="H14" s="5" t="str">
        <f t="shared" si="1"/>
        <v>HIgh Value</v>
      </c>
      <c r="I14" s="5" t="str">
        <f t="shared" si="2"/>
        <v>Bulk</v>
      </c>
      <c r="J14" s="4">
        <v>10.0</v>
      </c>
      <c r="K14" s="5">
        <f>COUNTIF(B2:B44,"Central")</f>
        <v>24</v>
      </c>
      <c r="L14" s="5" t="str">
        <f t="shared" si="3"/>
        <v>Parent-East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4.25" customHeight="1">
      <c r="A15" s="6">
        <v>46249.0</v>
      </c>
      <c r="B15" s="7" t="s">
        <v>10</v>
      </c>
      <c r="C15" s="7" t="s">
        <v>11</v>
      </c>
      <c r="D15" s="8" t="s">
        <v>12</v>
      </c>
      <c r="E15" s="7">
        <v>35.0</v>
      </c>
      <c r="F15" s="9">
        <v>4.99</v>
      </c>
      <c r="G15" s="9">
        <v>174.65</v>
      </c>
      <c r="H15" s="5" t="str">
        <f t="shared" si="1"/>
        <v>Standard</v>
      </c>
      <c r="I15" s="5" t="str">
        <f t="shared" si="2"/>
        <v>Medium</v>
      </c>
      <c r="J15" s="4">
        <v>11.0</v>
      </c>
      <c r="K15" s="5">
        <f>SUMIF(B2:B44,"East",G2:G44)</f>
        <v>6002.09</v>
      </c>
      <c r="L15" s="5" t="str">
        <f t="shared" si="3"/>
        <v>Jones-East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4.25" customHeight="1">
      <c r="A16" s="6">
        <v>46266.0</v>
      </c>
      <c r="B16" s="7" t="s">
        <v>13</v>
      </c>
      <c r="C16" s="7" t="s">
        <v>29</v>
      </c>
      <c r="D16" s="8" t="s">
        <v>30</v>
      </c>
      <c r="E16" s="7">
        <v>2.0</v>
      </c>
      <c r="F16" s="9">
        <v>125.0</v>
      </c>
      <c r="G16" s="9">
        <v>250.0</v>
      </c>
      <c r="H16" s="5" t="str">
        <f t="shared" si="1"/>
        <v>Standard</v>
      </c>
      <c r="I16" s="5" t="str">
        <f t="shared" si="2"/>
        <v>Small</v>
      </c>
      <c r="J16" s="4">
        <v>12.0</v>
      </c>
      <c r="K16" s="5">
        <f>SUMIF(C2:C44,"Jones",E2:E44)</f>
        <v>396</v>
      </c>
      <c r="L16" s="5" t="str">
        <f t="shared" si="3"/>
        <v>Smith-East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4.25" customHeight="1">
      <c r="A17" s="6">
        <v>46283.0</v>
      </c>
      <c r="B17" s="7" t="s">
        <v>10</v>
      </c>
      <c r="C17" s="7" t="s">
        <v>11</v>
      </c>
      <c r="D17" s="8" t="s">
        <v>31</v>
      </c>
      <c r="E17" s="7">
        <v>16.0</v>
      </c>
      <c r="F17" s="9">
        <v>15.99</v>
      </c>
      <c r="G17" s="9">
        <f>MULTIPLY(E17,F17)</f>
        <v>255.84</v>
      </c>
      <c r="H17" s="5" t="str">
        <f t="shared" si="1"/>
        <v>Standard</v>
      </c>
      <c r="I17" s="5" t="str">
        <f t="shared" si="2"/>
        <v>Small</v>
      </c>
      <c r="J17" s="4">
        <v>13.0</v>
      </c>
      <c r="K17" s="5">
        <f>AVERAGEIF(D2:D44,"Binder",G2:G44)</f>
        <v>638.51</v>
      </c>
      <c r="L17" s="5" t="str">
        <f t="shared" si="3"/>
        <v>Jones-Central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4.25" customHeight="1">
      <c r="A18" s="6">
        <v>46300.0</v>
      </c>
      <c r="B18" s="7" t="s">
        <v>13</v>
      </c>
      <c r="C18" s="7" t="s">
        <v>26</v>
      </c>
      <c r="D18" s="8" t="s">
        <v>15</v>
      </c>
      <c r="E18" s="7">
        <v>28.0</v>
      </c>
      <c r="F18" s="9">
        <v>8.99</v>
      </c>
      <c r="G18" s="9">
        <v>251.72</v>
      </c>
      <c r="H18" s="5" t="str">
        <f t="shared" si="1"/>
        <v>Standard</v>
      </c>
      <c r="I18" s="5" t="str">
        <f t="shared" si="2"/>
        <v>Small</v>
      </c>
      <c r="J18" s="4">
        <v>14.0</v>
      </c>
      <c r="K18" s="5">
        <f>COUNTIFS(C2:C44,"Jones",B2:B44,"East")</f>
        <v>8</v>
      </c>
      <c r="L18" s="5" t="str">
        <f t="shared" si="3"/>
        <v>Morgan-East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4.25" customHeight="1">
      <c r="A19" s="6">
        <v>46317.0</v>
      </c>
      <c r="B19" s="7" t="s">
        <v>10</v>
      </c>
      <c r="C19" s="7" t="s">
        <v>11</v>
      </c>
      <c r="D19" s="8" t="s">
        <v>20</v>
      </c>
      <c r="E19" s="7">
        <v>64.0</v>
      </c>
      <c r="F19" s="9">
        <v>8.99</v>
      </c>
      <c r="G19" s="9">
        <v>575.36</v>
      </c>
      <c r="H19" s="5" t="str">
        <f t="shared" si="1"/>
        <v>HIgh Value</v>
      </c>
      <c r="I19" s="5" t="str">
        <f t="shared" si="2"/>
        <v>Medium</v>
      </c>
      <c r="J19" s="4">
        <v>15.0</v>
      </c>
      <c r="K19" s="5">
        <f>SUMIFS(G2:G44,C2:C44,"Jardine",D2:D44,"Pencil")</f>
        <v>628.74</v>
      </c>
      <c r="L19" s="5" t="str">
        <f t="shared" si="3"/>
        <v>Jones-Central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4.25" customHeight="1">
      <c r="A20" s="6">
        <v>46334.0</v>
      </c>
      <c r="B20" s="7" t="s">
        <v>10</v>
      </c>
      <c r="C20" s="7" t="s">
        <v>28</v>
      </c>
      <c r="D20" s="8" t="s">
        <v>20</v>
      </c>
      <c r="E20" s="7">
        <v>15.0</v>
      </c>
      <c r="F20" s="9">
        <v>19.99</v>
      </c>
      <c r="G20" s="9">
        <v>299.84999999999997</v>
      </c>
      <c r="H20" s="5" t="str">
        <f t="shared" si="1"/>
        <v>Standard</v>
      </c>
      <c r="I20" s="5" t="str">
        <f t="shared" si="2"/>
        <v>Small</v>
      </c>
      <c r="J20" s="4">
        <v>16.0</v>
      </c>
      <c r="K20" s="4" t="s">
        <v>32</v>
      </c>
      <c r="L20" s="5" t="str">
        <f t="shared" si="3"/>
        <v>Parent-East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4.25" customHeight="1">
      <c r="A21" s="6">
        <v>46351.0</v>
      </c>
      <c r="B21" s="7" t="s">
        <v>13</v>
      </c>
      <c r="C21" s="7" t="s">
        <v>14</v>
      </c>
      <c r="D21" s="8" t="s">
        <v>31</v>
      </c>
      <c r="E21" s="7">
        <v>96.0</v>
      </c>
      <c r="F21" s="9">
        <v>4.99</v>
      </c>
      <c r="G21" s="9">
        <v>479.04</v>
      </c>
      <c r="H21" s="5" t="str">
        <f t="shared" si="1"/>
        <v>Standard</v>
      </c>
      <c r="I21" s="5" t="str">
        <f t="shared" si="2"/>
        <v>Bulk</v>
      </c>
      <c r="J21" s="4">
        <v>17.0</v>
      </c>
      <c r="K21" s="4" t="s">
        <v>32</v>
      </c>
      <c r="L21" s="5" t="str">
        <f t="shared" si="3"/>
        <v>Kivell-East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4.25" customHeight="1">
      <c r="A22" s="6">
        <v>46368.0</v>
      </c>
      <c r="B22" s="7" t="s">
        <v>13</v>
      </c>
      <c r="C22" s="7" t="s">
        <v>29</v>
      </c>
      <c r="D22" s="8" t="s">
        <v>12</v>
      </c>
      <c r="E22" s="7">
        <v>67.0</v>
      </c>
      <c r="F22" s="9">
        <v>1.29</v>
      </c>
      <c r="G22" s="9">
        <v>86.43</v>
      </c>
      <c r="H22" s="5" t="str">
        <f t="shared" si="1"/>
        <v>Standard</v>
      </c>
      <c r="I22" s="5" t="str">
        <f t="shared" si="2"/>
        <v>Medium</v>
      </c>
      <c r="J22" s="4">
        <v>18.0</v>
      </c>
      <c r="K22" s="4" t="s">
        <v>32</v>
      </c>
      <c r="L22" s="5" t="str">
        <f t="shared" si="3"/>
        <v>Smith-Central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4.25" customHeight="1">
      <c r="A23" s="6">
        <v>46385.0</v>
      </c>
      <c r="B23" s="7" t="s">
        <v>10</v>
      </c>
      <c r="C23" s="7" t="s">
        <v>28</v>
      </c>
      <c r="D23" s="8" t="s">
        <v>31</v>
      </c>
      <c r="E23" s="7">
        <v>74.0</v>
      </c>
      <c r="F23" s="9">
        <v>15.99</v>
      </c>
      <c r="G23" s="9">
        <v>1183.26</v>
      </c>
      <c r="H23" s="5" t="str">
        <f t="shared" si="1"/>
        <v>HIgh Value</v>
      </c>
      <c r="I23" s="5" t="str">
        <f t="shared" si="2"/>
        <v>Medium</v>
      </c>
      <c r="J23" s="4">
        <v>19.0</v>
      </c>
      <c r="K23" s="5"/>
      <c r="L23" s="5" t="str">
        <f t="shared" si="3"/>
        <v>Parent-Central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4.25" customHeight="1">
      <c r="A24" s="6">
        <v>46402.0</v>
      </c>
      <c r="B24" s="7" t="s">
        <v>13</v>
      </c>
      <c r="C24" s="7" t="s">
        <v>19</v>
      </c>
      <c r="D24" s="8" t="s">
        <v>15</v>
      </c>
      <c r="E24" s="7">
        <v>46.0</v>
      </c>
      <c r="F24" s="9">
        <v>8.99</v>
      </c>
      <c r="G24" s="9">
        <f>MULTIPLY(E24,F24)</f>
        <v>413.54</v>
      </c>
      <c r="H24" s="5" t="str">
        <f t="shared" si="1"/>
        <v>Standard</v>
      </c>
      <c r="I24" s="5" t="str">
        <f t="shared" si="2"/>
        <v>Medium</v>
      </c>
      <c r="J24" s="4">
        <v>20.0</v>
      </c>
      <c r="K24" s="5">
        <f>SUMIF(A2:A44,"09-02-2026",G2:G44)</f>
        <v>179.64</v>
      </c>
      <c r="L24" s="5" t="str">
        <f t="shared" si="3"/>
        <v>Gill-East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4.25" customHeight="1">
      <c r="A25" s="6">
        <v>46419.0</v>
      </c>
      <c r="B25" s="7" t="s">
        <v>13</v>
      </c>
      <c r="C25" s="7" t="s">
        <v>29</v>
      </c>
      <c r="D25" s="8" t="s">
        <v>15</v>
      </c>
      <c r="E25" s="7">
        <v>87.0</v>
      </c>
      <c r="F25" s="9">
        <v>15.0</v>
      </c>
      <c r="G25" s="9">
        <v>1305.0</v>
      </c>
      <c r="H25" s="5" t="str">
        <f t="shared" si="1"/>
        <v>HIgh Value</v>
      </c>
      <c r="I25" s="5" t="str">
        <f t="shared" si="2"/>
        <v>Bulk</v>
      </c>
      <c r="J25" s="4">
        <v>21.0</v>
      </c>
      <c r="K25" s="12">
        <f>SUMIF(A2:A44,"01-2026",G2:G44)</f>
        <v>0</v>
      </c>
      <c r="L25" s="5" t="str">
        <f t="shared" si="3"/>
        <v>Smith-Central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4.25" customHeight="1">
      <c r="A26" s="6">
        <v>46436.0</v>
      </c>
      <c r="B26" s="7" t="s">
        <v>10</v>
      </c>
      <c r="C26" s="7" t="s">
        <v>11</v>
      </c>
      <c r="D26" s="8" t="s">
        <v>15</v>
      </c>
      <c r="E26" s="7">
        <v>4.0</v>
      </c>
      <c r="F26" s="9">
        <v>4.99</v>
      </c>
      <c r="G26" s="9">
        <v>19.96</v>
      </c>
      <c r="H26" s="5" t="str">
        <f t="shared" si="1"/>
        <v>Standard</v>
      </c>
      <c r="I26" s="5" t="str">
        <f t="shared" si="2"/>
        <v>Small</v>
      </c>
      <c r="J26" s="4">
        <v>22.0</v>
      </c>
      <c r="K26" s="5" t="str">
        <f>UPPER(D3)</f>
        <v>BINDER</v>
      </c>
      <c r="L26" s="5" t="str">
        <f t="shared" si="3"/>
        <v>Jones-Central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4.25" customHeight="1">
      <c r="A27" s="6">
        <v>46453.0</v>
      </c>
      <c r="B27" s="7" t="s">
        <v>21</v>
      </c>
      <c r="C27" s="7" t="s">
        <v>22</v>
      </c>
      <c r="D27" s="8" t="s">
        <v>15</v>
      </c>
      <c r="E27" s="7">
        <v>7.0</v>
      </c>
      <c r="F27" s="9">
        <v>19.99</v>
      </c>
      <c r="G27" s="9">
        <v>139.92999999999998</v>
      </c>
      <c r="H27" s="5" t="str">
        <f t="shared" si="1"/>
        <v>Standard</v>
      </c>
      <c r="I27" s="5" t="str">
        <f t="shared" si="2"/>
        <v>Small</v>
      </c>
      <c r="J27" s="4">
        <v>23.0</v>
      </c>
      <c r="K27" s="5">
        <f>LEN(C4)</f>
        <v>7</v>
      </c>
      <c r="L27" s="5" t="str">
        <f t="shared" si="3"/>
        <v>Sorvino-East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4.25" customHeight="1">
      <c r="A28" s="6">
        <v>46470.0</v>
      </c>
      <c r="B28" s="7" t="s">
        <v>13</v>
      </c>
      <c r="C28" s="7" t="s">
        <v>16</v>
      </c>
      <c r="D28" s="8" t="s">
        <v>31</v>
      </c>
      <c r="E28" s="7">
        <v>50.0</v>
      </c>
      <c r="F28" s="9">
        <v>4.99</v>
      </c>
      <c r="G28" s="9">
        <v>249.5</v>
      </c>
      <c r="H28" s="5" t="str">
        <f t="shared" si="1"/>
        <v>Standard</v>
      </c>
      <c r="I28" s="5" t="str">
        <f t="shared" si="2"/>
        <v>Medium</v>
      </c>
      <c r="J28" s="4">
        <v>24.0</v>
      </c>
      <c r="K28" s="5">
        <f>COUNTIFS(B2:B44,"Central",D2:D44,"Pencil")</f>
        <v>9</v>
      </c>
      <c r="L28" s="5" t="str">
        <f t="shared" si="3"/>
        <v>Jardine-West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4.25" customHeight="1">
      <c r="A29" s="6">
        <v>46487.0</v>
      </c>
      <c r="B29" s="7" t="s">
        <v>13</v>
      </c>
      <c r="C29" s="7" t="s">
        <v>24</v>
      </c>
      <c r="D29" s="8" t="s">
        <v>12</v>
      </c>
      <c r="E29" s="7">
        <v>66.0</v>
      </c>
      <c r="F29" s="9">
        <v>1.99</v>
      </c>
      <c r="G29" s="9">
        <v>131.34</v>
      </c>
      <c r="H29" s="5" t="str">
        <f t="shared" si="1"/>
        <v>Standard</v>
      </c>
      <c r="I29" s="5" t="str">
        <f t="shared" si="2"/>
        <v>Medium</v>
      </c>
      <c r="J29" s="4">
        <v>25.0</v>
      </c>
      <c r="K29" s="5"/>
      <c r="L29" s="5" t="str">
        <f t="shared" si="3"/>
        <v>Andrews-Central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4.25" customHeight="1">
      <c r="A30" s="6">
        <v>46504.0</v>
      </c>
      <c r="B30" s="7" t="s">
        <v>10</v>
      </c>
      <c r="C30" s="7" t="s">
        <v>27</v>
      </c>
      <c r="D30" s="8" t="s">
        <v>20</v>
      </c>
      <c r="E30" s="7">
        <v>96.0</v>
      </c>
      <c r="F30" s="9">
        <v>4.99</v>
      </c>
      <c r="G30" s="9">
        <v>479.04</v>
      </c>
      <c r="H30" s="5" t="str">
        <f t="shared" si="1"/>
        <v>Standard</v>
      </c>
      <c r="I30" s="5" t="str">
        <f t="shared" si="2"/>
        <v>Bulk</v>
      </c>
      <c r="J30" s="4">
        <v>26.0</v>
      </c>
      <c r="K30" s="5"/>
      <c r="L30" s="5" t="str">
        <f t="shared" si="3"/>
        <v>Howard-Central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4.25" customHeight="1">
      <c r="A31" s="6">
        <v>46521.0</v>
      </c>
      <c r="B31" s="7" t="s">
        <v>13</v>
      </c>
      <c r="C31" s="7" t="s">
        <v>19</v>
      </c>
      <c r="D31" s="8" t="s">
        <v>12</v>
      </c>
      <c r="E31" s="7">
        <v>53.0</v>
      </c>
      <c r="F31" s="9">
        <v>1.29</v>
      </c>
      <c r="G31" s="9">
        <v>68.37</v>
      </c>
      <c r="H31" s="5" t="str">
        <f t="shared" si="1"/>
        <v>Standard</v>
      </c>
      <c r="I31" s="5" t="str">
        <f t="shared" si="2"/>
        <v>Medium</v>
      </c>
      <c r="J31" s="5"/>
      <c r="K31" s="5"/>
      <c r="L31" s="5" t="str">
        <f t="shared" si="3"/>
        <v>Gill-East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4.25" customHeight="1">
      <c r="A32" s="6">
        <v>46538.0</v>
      </c>
      <c r="B32" s="7" t="s">
        <v>13</v>
      </c>
      <c r="C32" s="7" t="s">
        <v>19</v>
      </c>
      <c r="D32" s="8" t="s">
        <v>15</v>
      </c>
      <c r="E32" s="7">
        <v>80.0</v>
      </c>
      <c r="F32" s="9">
        <v>8.99</v>
      </c>
      <c r="G32" s="9">
        <v>719.2</v>
      </c>
      <c r="H32" s="5" t="str">
        <f t="shared" si="1"/>
        <v>HIgh Value</v>
      </c>
      <c r="I32" s="5" t="str">
        <f t="shared" si="2"/>
        <v>Bulk</v>
      </c>
      <c r="J32" s="5"/>
      <c r="K32" s="5"/>
      <c r="L32" s="5" t="str">
        <f t="shared" si="3"/>
        <v>Gill-Central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4.25" customHeight="1">
      <c r="A33" s="6">
        <v>46555.0</v>
      </c>
      <c r="B33" s="7" t="s">
        <v>13</v>
      </c>
      <c r="C33" s="7" t="s">
        <v>14</v>
      </c>
      <c r="D33" s="8" t="s">
        <v>30</v>
      </c>
      <c r="E33" s="7">
        <v>5.0</v>
      </c>
      <c r="F33" s="9">
        <v>125.0</v>
      </c>
      <c r="G33" s="9">
        <v>625.0</v>
      </c>
      <c r="H33" s="5" t="str">
        <f t="shared" si="1"/>
        <v>HIgh Value</v>
      </c>
      <c r="I33" s="5" t="str">
        <f t="shared" si="2"/>
        <v>Small</v>
      </c>
      <c r="J33" s="5"/>
      <c r="K33" s="5"/>
      <c r="L33" s="5" t="str">
        <f t="shared" si="3"/>
        <v>Kivell-Central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4.25" customHeight="1">
      <c r="A34" s="6">
        <v>46572.0</v>
      </c>
      <c r="B34" s="7" t="s">
        <v>10</v>
      </c>
      <c r="C34" s="7" t="s">
        <v>11</v>
      </c>
      <c r="D34" s="8" t="s">
        <v>31</v>
      </c>
      <c r="E34" s="7">
        <v>62.0</v>
      </c>
      <c r="F34" s="9">
        <v>4.99</v>
      </c>
      <c r="G34" s="9">
        <v>309.38</v>
      </c>
      <c r="H34" s="5" t="str">
        <f t="shared" si="1"/>
        <v>Standard</v>
      </c>
      <c r="I34" s="5" t="str">
        <f t="shared" si="2"/>
        <v>Medium</v>
      </c>
      <c r="J34" s="5"/>
      <c r="K34" s="5"/>
      <c r="L34" s="5" t="str">
        <f t="shared" si="3"/>
        <v>Jones-Central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4.25" customHeight="1">
      <c r="A35" s="6">
        <v>46589.0</v>
      </c>
      <c r="B35" s="7" t="s">
        <v>13</v>
      </c>
      <c r="C35" s="7" t="s">
        <v>26</v>
      </c>
      <c r="D35" s="8" t="s">
        <v>31</v>
      </c>
      <c r="E35" s="7">
        <v>55.0</v>
      </c>
      <c r="F35" s="9">
        <v>12.49</v>
      </c>
      <c r="G35" s="9">
        <v>686.95</v>
      </c>
      <c r="H35" s="5" t="str">
        <f t="shared" si="1"/>
        <v>HIgh Value</v>
      </c>
      <c r="I35" s="5" t="str">
        <f t="shared" si="2"/>
        <v>Medium</v>
      </c>
      <c r="J35" s="5"/>
      <c r="K35" s="5"/>
      <c r="L35" s="5" t="str">
        <f t="shared" si="3"/>
        <v>Morgan-East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4.25" customHeight="1">
      <c r="A36" s="6">
        <v>46606.0</v>
      </c>
      <c r="B36" s="7" t="s">
        <v>13</v>
      </c>
      <c r="C36" s="7" t="s">
        <v>14</v>
      </c>
      <c r="D36" s="8" t="s">
        <v>31</v>
      </c>
      <c r="E36" s="7">
        <v>42.0</v>
      </c>
      <c r="F36" s="9">
        <v>23.95</v>
      </c>
      <c r="G36" s="9">
        <v>1005.9</v>
      </c>
      <c r="H36" s="5" t="str">
        <f t="shared" si="1"/>
        <v>HIgh Value</v>
      </c>
      <c r="I36" s="5" t="str">
        <f t="shared" si="2"/>
        <v>Medium</v>
      </c>
      <c r="J36" s="5"/>
      <c r="K36" s="5"/>
      <c r="L36" s="5" t="str">
        <f t="shared" si="3"/>
        <v>Kivell-Central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4.25" customHeight="1">
      <c r="A37" s="6">
        <v>46623.0</v>
      </c>
      <c r="B37" s="7" t="s">
        <v>21</v>
      </c>
      <c r="C37" s="7" t="s">
        <v>22</v>
      </c>
      <c r="D37" s="8" t="s">
        <v>30</v>
      </c>
      <c r="E37" s="7">
        <v>3.0</v>
      </c>
      <c r="F37" s="9">
        <v>275.0</v>
      </c>
      <c r="G37" s="9">
        <v>825.0</v>
      </c>
      <c r="H37" s="5" t="str">
        <f t="shared" si="1"/>
        <v>HIgh Value</v>
      </c>
      <c r="I37" s="5" t="str">
        <f t="shared" si="2"/>
        <v>Small</v>
      </c>
      <c r="J37" s="5"/>
      <c r="K37" s="5"/>
      <c r="L37" s="5" t="str">
        <f t="shared" si="3"/>
        <v>Sorvino-Central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4.25" customHeight="1">
      <c r="A38" s="6">
        <v>46640.0</v>
      </c>
      <c r="B38" s="7" t="s">
        <v>13</v>
      </c>
      <c r="C38" s="7" t="s">
        <v>19</v>
      </c>
      <c r="D38" s="8" t="s">
        <v>12</v>
      </c>
      <c r="E38" s="7">
        <v>7.0</v>
      </c>
      <c r="F38" s="9">
        <v>1.29</v>
      </c>
      <c r="G38" s="9">
        <v>9.030000000000001</v>
      </c>
      <c r="H38" s="5" t="str">
        <f t="shared" si="1"/>
        <v>Standard</v>
      </c>
      <c r="I38" s="5" t="str">
        <f t="shared" si="2"/>
        <v>Small</v>
      </c>
      <c r="J38" s="5"/>
      <c r="K38" s="5"/>
      <c r="L38" s="5" t="str">
        <f t="shared" si="3"/>
        <v>Gill-West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4.25" customHeight="1">
      <c r="A39" s="6">
        <v>46657.0</v>
      </c>
      <c r="B39" s="7" t="s">
        <v>21</v>
      </c>
      <c r="C39" s="7" t="s">
        <v>22</v>
      </c>
      <c r="D39" s="8" t="s">
        <v>20</v>
      </c>
      <c r="E39" s="7">
        <v>76.0</v>
      </c>
      <c r="F39" s="9">
        <v>1.99</v>
      </c>
      <c r="G39" s="9">
        <v>151.24</v>
      </c>
      <c r="H39" s="5" t="str">
        <f t="shared" si="1"/>
        <v>Standard</v>
      </c>
      <c r="I39" s="5" t="str">
        <f t="shared" si="2"/>
        <v>Bulk</v>
      </c>
      <c r="J39" s="5"/>
      <c r="K39" s="5"/>
      <c r="L39" s="5" t="str">
        <f t="shared" si="3"/>
        <v>Sorvino-Central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4.25" customHeight="1">
      <c r="A40" s="6">
        <v>46674.0</v>
      </c>
      <c r="B40" s="7" t="s">
        <v>21</v>
      </c>
      <c r="C40" s="7" t="s">
        <v>25</v>
      </c>
      <c r="D40" s="8" t="s">
        <v>15</v>
      </c>
      <c r="E40" s="7">
        <v>57.0</v>
      </c>
      <c r="F40" s="9">
        <v>19.99</v>
      </c>
      <c r="G40" s="9">
        <v>1139.4299999999998</v>
      </c>
      <c r="H40" s="5" t="str">
        <f t="shared" si="1"/>
        <v>HIgh Value</v>
      </c>
      <c r="I40" s="5" t="str">
        <f t="shared" si="2"/>
        <v>Medium</v>
      </c>
      <c r="J40" s="5"/>
      <c r="K40" s="5"/>
      <c r="L40" s="5" t="str">
        <f t="shared" si="3"/>
        <v>Thompson-West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4.25" customHeight="1">
      <c r="A41" s="6">
        <v>46691.0</v>
      </c>
      <c r="B41" s="7" t="s">
        <v>13</v>
      </c>
      <c r="C41" s="7" t="s">
        <v>24</v>
      </c>
      <c r="D41" s="8" t="s">
        <v>12</v>
      </c>
      <c r="E41" s="7">
        <v>14.0</v>
      </c>
      <c r="F41" s="9">
        <v>1.29</v>
      </c>
      <c r="G41" s="9">
        <v>18.060000000000002</v>
      </c>
      <c r="H41" s="5" t="str">
        <f t="shared" si="1"/>
        <v>Standard</v>
      </c>
      <c r="I41" s="5" t="str">
        <f t="shared" si="2"/>
        <v>Small</v>
      </c>
      <c r="J41" s="5"/>
      <c r="K41" s="5"/>
      <c r="L41" s="5" t="str">
        <f t="shared" si="3"/>
        <v>Andrews-West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4.25" customHeight="1">
      <c r="A42" s="6">
        <v>46708.0</v>
      </c>
      <c r="B42" s="7" t="s">
        <v>13</v>
      </c>
      <c r="C42" s="7" t="s">
        <v>16</v>
      </c>
      <c r="D42" s="8" t="s">
        <v>15</v>
      </c>
      <c r="E42" s="7">
        <v>11.0</v>
      </c>
      <c r="F42" s="9">
        <v>4.99</v>
      </c>
      <c r="G42" s="9">
        <v>54.89</v>
      </c>
      <c r="H42" s="5" t="str">
        <f t="shared" si="1"/>
        <v>Standard</v>
      </c>
      <c r="I42" s="5" t="str">
        <f t="shared" si="2"/>
        <v>Small</v>
      </c>
      <c r="J42" s="5"/>
      <c r="K42" s="5"/>
      <c r="L42" s="5" t="str">
        <f t="shared" si="3"/>
        <v>Jardine-Central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4.25" customHeight="1">
      <c r="A43" s="6">
        <v>46725.0</v>
      </c>
      <c r="B43" s="7" t="s">
        <v>13</v>
      </c>
      <c r="C43" s="7" t="s">
        <v>16</v>
      </c>
      <c r="D43" s="8" t="s">
        <v>15</v>
      </c>
      <c r="E43" s="7">
        <v>94.0</v>
      </c>
      <c r="F43" s="9">
        <v>19.99</v>
      </c>
      <c r="G43" s="9">
        <v>1879.06</v>
      </c>
      <c r="H43" s="5" t="str">
        <f t="shared" si="1"/>
        <v>HIgh Value</v>
      </c>
      <c r="I43" s="5" t="str">
        <f t="shared" si="2"/>
        <v>Bulk</v>
      </c>
      <c r="J43" s="5"/>
      <c r="K43" s="5"/>
      <c r="L43" s="5" t="str">
        <f t="shared" si="3"/>
        <v>Jardine-Central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4.25" customHeight="1">
      <c r="A44" s="6">
        <v>46742.0</v>
      </c>
      <c r="B44" s="7" t="s">
        <v>13</v>
      </c>
      <c r="C44" s="7" t="s">
        <v>24</v>
      </c>
      <c r="D44" s="8" t="s">
        <v>15</v>
      </c>
      <c r="E44" s="7">
        <v>28.0</v>
      </c>
      <c r="F44" s="9">
        <v>4.99</v>
      </c>
      <c r="G44" s="9">
        <v>139.72</v>
      </c>
      <c r="H44" s="5" t="str">
        <f t="shared" si="1"/>
        <v>Standard</v>
      </c>
      <c r="I44" s="5" t="str">
        <f t="shared" si="2"/>
        <v>Small</v>
      </c>
      <c r="J44" s="5"/>
      <c r="K44" s="5"/>
      <c r="L44" s="5" t="str">
        <f t="shared" si="3"/>
        <v>Andrews-Central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4.25" customHeight="1">
      <c r="A45" s="13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4.25" customHeight="1">
      <c r="A46" s="13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4.25" customHeight="1">
      <c r="A47" s="13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4.25" customHeight="1">
      <c r="A48" s="1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4.25" customHeight="1">
      <c r="A49" s="1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4.25" customHeight="1">
      <c r="A50" s="13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4.25" customHeight="1">
      <c r="A51" s="1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4.25" customHeight="1">
      <c r="A52" s="1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4.25" customHeight="1">
      <c r="A53" s="1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4.25" customHeight="1">
      <c r="A54" s="1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4.25" customHeight="1">
      <c r="A55" s="1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4.25" customHeight="1">
      <c r="A56" s="1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4.25" customHeight="1">
      <c r="A57" s="1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4.25" customHeight="1">
      <c r="A58" s="1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4.25" customHeight="1">
      <c r="A59" s="1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4.25" customHeight="1">
      <c r="A60" s="1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4.25" customHeight="1">
      <c r="A61" s="1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4.25" customHeight="1">
      <c r="A62" s="1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4.25" customHeight="1">
      <c r="A63" s="1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4.25" customHeight="1">
      <c r="A64" s="1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4.25" customHeight="1">
      <c r="A65" s="1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4.25" customHeight="1">
      <c r="A66" s="1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4.25" customHeight="1">
      <c r="A67" s="1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4.25" customHeight="1">
      <c r="A68" s="1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4.25" customHeight="1">
      <c r="A69" s="1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4.25" customHeight="1">
      <c r="A70" s="1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4.25" customHeight="1">
      <c r="A71" s="1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4.25" customHeight="1">
      <c r="A72" s="1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4.25" customHeight="1">
      <c r="A73" s="1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4.25" customHeight="1">
      <c r="A74" s="1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4.25" customHeight="1">
      <c r="A75" s="1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4.25" customHeight="1">
      <c r="A76" s="1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4.25" customHeight="1">
      <c r="A77" s="13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4.25" customHeight="1">
      <c r="A78" s="1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4.25" customHeight="1">
      <c r="A79" s="1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4.25" customHeight="1">
      <c r="A80" s="1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4.25" customHeight="1">
      <c r="A81" s="1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4.25" customHeight="1">
      <c r="A82" s="1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4.25" customHeight="1">
      <c r="A83" s="1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4.25" customHeight="1">
      <c r="A84" s="1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4.25" customHeight="1">
      <c r="A85" s="1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4.25" customHeight="1">
      <c r="A86" s="1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4.25" customHeight="1">
      <c r="A87" s="1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4.25" customHeight="1">
      <c r="A88" s="1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4.25" customHeight="1">
      <c r="A89" s="1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4.25" customHeight="1">
      <c r="A90" s="1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4.25" customHeight="1">
      <c r="A91" s="1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4.25" customHeight="1">
      <c r="A92" s="1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4.25" customHeight="1">
      <c r="A93" s="1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4.25" customHeight="1">
      <c r="A94" s="1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4.25" customHeight="1">
      <c r="A95" s="1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4.25" customHeight="1">
      <c r="A96" s="1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4.25" customHeight="1">
      <c r="A97" s="1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4.25" customHeight="1">
      <c r="A98" s="1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4.25" customHeight="1">
      <c r="A99" s="1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4.25" customHeight="1">
      <c r="A100" s="1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4.25" customHeight="1">
      <c r="A101" s="1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4.25" customHeight="1">
      <c r="A102" s="1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4.25" customHeight="1">
      <c r="A103" s="1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4.25" customHeight="1">
      <c r="A104" s="1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4.25" customHeight="1">
      <c r="A105" s="1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4.25" customHeight="1">
      <c r="A106" s="1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4.25" customHeight="1">
      <c r="A107" s="1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4.25" customHeight="1">
      <c r="A108" s="1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4.25" customHeight="1">
      <c r="A109" s="1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4.25" customHeight="1">
      <c r="A110" s="1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4.25" customHeight="1">
      <c r="A111" s="1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4.25" customHeight="1">
      <c r="A112" s="1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4.25" customHeight="1">
      <c r="A113" s="1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4.25" customHeight="1">
      <c r="A114" s="1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4.25" customHeight="1">
      <c r="A115" s="1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4.25" customHeight="1">
      <c r="A116" s="1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1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4.25" customHeight="1">
      <c r="A118" s="1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4.25" customHeight="1">
      <c r="A119" s="1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4.25" customHeight="1">
      <c r="A120" s="1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4.25" customHeight="1">
      <c r="A121" s="1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4.25" customHeight="1">
      <c r="A122" s="1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4.25" customHeight="1">
      <c r="A123" s="1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4.25" customHeight="1">
      <c r="A124" s="1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4.25" customHeight="1">
      <c r="A125" s="1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4.25" customHeight="1">
      <c r="A126" s="1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4.25" customHeight="1">
      <c r="A127" s="1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4.25" customHeight="1">
      <c r="A128" s="1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4.25" customHeight="1">
      <c r="A129" s="1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4.25" customHeight="1">
      <c r="A130" s="1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4.25" customHeight="1">
      <c r="A131" s="1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4.25" customHeight="1">
      <c r="A132" s="1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4.25" customHeight="1">
      <c r="A133" s="1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4.25" customHeight="1">
      <c r="A134" s="1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4.25" customHeight="1">
      <c r="A135" s="1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4.25" customHeight="1">
      <c r="A136" s="1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4.25" customHeight="1">
      <c r="A137" s="1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4.25" customHeight="1">
      <c r="A138" s="1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4.25" customHeight="1">
      <c r="A139" s="1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4.25" customHeight="1">
      <c r="A140" s="1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4.25" customHeight="1">
      <c r="A141" s="1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4.25" customHeight="1">
      <c r="A142" s="1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4.25" customHeight="1">
      <c r="A143" s="1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4.25" customHeight="1">
      <c r="A144" s="1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4.25" customHeight="1">
      <c r="A145" s="1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4.25" customHeight="1">
      <c r="A146" s="1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4.25" customHeight="1">
      <c r="A147" s="1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4.25" customHeight="1">
      <c r="A148" s="1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4.25" customHeight="1">
      <c r="A149" s="1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4.25" customHeight="1">
      <c r="A150" s="1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4.25" customHeight="1">
      <c r="A151" s="1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4.25" customHeight="1">
      <c r="A152" s="1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4.25" customHeight="1">
      <c r="A153" s="1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4.25" customHeight="1">
      <c r="A154" s="1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4.25" customHeight="1">
      <c r="A155" s="1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4.25" customHeight="1">
      <c r="A156" s="1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4.25" customHeight="1">
      <c r="A157" s="1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4.25" customHeight="1">
      <c r="A158" s="1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4.25" customHeight="1">
      <c r="A159" s="1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4.25" customHeight="1">
      <c r="A160" s="1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4.25" customHeight="1">
      <c r="A161" s="1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4.25" customHeight="1">
      <c r="A162" s="1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4.25" customHeight="1">
      <c r="A163" s="1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4.25" customHeight="1">
      <c r="A164" s="1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4.25" customHeight="1">
      <c r="A165" s="1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4.25" customHeight="1">
      <c r="A166" s="1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4.25" customHeight="1">
      <c r="A167" s="1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4.25" customHeight="1">
      <c r="A168" s="1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4.25" customHeight="1">
      <c r="A169" s="1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4.25" customHeight="1">
      <c r="A170" s="1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4.25" customHeight="1">
      <c r="A171" s="1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4.25" customHeight="1">
      <c r="A172" s="1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4.25" customHeight="1">
      <c r="A173" s="1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4.25" customHeight="1">
      <c r="A174" s="1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4.25" customHeight="1">
      <c r="A175" s="1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4.25" customHeight="1">
      <c r="A176" s="1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4.25" customHeight="1">
      <c r="A177" s="1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4.25" customHeight="1">
      <c r="A178" s="1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4.25" customHeight="1">
      <c r="A179" s="1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4.25" customHeight="1">
      <c r="A180" s="1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4.25" customHeight="1">
      <c r="A181" s="1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4.25" customHeight="1">
      <c r="A182" s="1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4.25" customHeight="1">
      <c r="A183" s="1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4.25" customHeight="1">
      <c r="A184" s="1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4.25" customHeight="1">
      <c r="A185" s="1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4.25" customHeight="1">
      <c r="A186" s="1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4.25" customHeight="1">
      <c r="A187" s="1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4.25" customHeight="1">
      <c r="A188" s="1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4.25" customHeight="1">
      <c r="A189" s="1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4.25" customHeight="1">
      <c r="A190" s="1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4.25" customHeight="1">
      <c r="A191" s="1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4.25" customHeight="1">
      <c r="A192" s="1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4.25" customHeight="1">
      <c r="A193" s="1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4.25" customHeight="1">
      <c r="A194" s="1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4.25" customHeight="1">
      <c r="A195" s="1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4.25" customHeight="1">
      <c r="A196" s="1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4.25" customHeight="1">
      <c r="A197" s="1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4.25" customHeight="1">
      <c r="A198" s="1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4.25" customHeight="1">
      <c r="A199" s="1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4.25" customHeight="1">
      <c r="A200" s="1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4.25" customHeight="1">
      <c r="A201" s="1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4.25" customHeight="1">
      <c r="A202" s="1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4.25" customHeight="1">
      <c r="A203" s="1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4.25" customHeight="1">
      <c r="A204" s="1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4.25" customHeight="1">
      <c r="A205" s="1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4.25" customHeight="1">
      <c r="A206" s="1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4.25" customHeight="1">
      <c r="A207" s="1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4.25" customHeight="1">
      <c r="A208" s="1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4.25" customHeight="1">
      <c r="A209" s="1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4.25" customHeight="1">
      <c r="A210" s="1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4.25" customHeight="1">
      <c r="A211" s="1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4.25" customHeight="1">
      <c r="A212" s="1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4.25" customHeight="1">
      <c r="A213" s="1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4.25" customHeight="1">
      <c r="A214" s="1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4.25" customHeight="1">
      <c r="A215" s="1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4.25" customHeight="1">
      <c r="A216" s="1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4.25" customHeight="1">
      <c r="A217" s="1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4.25" customHeight="1">
      <c r="A218" s="1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4.25" customHeight="1">
      <c r="A219" s="1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4.25" customHeight="1">
      <c r="A220" s="1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4.25" customHeight="1">
      <c r="A221" s="1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4.25" customHeight="1">
      <c r="A222" s="1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4.25" customHeight="1">
      <c r="A223" s="1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4.25" customHeight="1">
      <c r="A224" s="1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4.25" customHeight="1">
      <c r="A225" s="1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4.25" customHeight="1">
      <c r="A226" s="1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4.25" customHeight="1">
      <c r="A227" s="1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4.25" customHeight="1">
      <c r="A228" s="1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4.25" customHeight="1">
      <c r="A229" s="1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4.25" customHeight="1">
      <c r="A230" s="1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4.25" customHeight="1">
      <c r="A231" s="1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4.25" customHeight="1">
      <c r="A232" s="1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4.25" customHeight="1">
      <c r="A233" s="1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4.25" customHeight="1">
      <c r="A234" s="1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4.25" customHeight="1">
      <c r="A235" s="1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4.25" customHeight="1">
      <c r="A236" s="1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4.25" customHeight="1">
      <c r="A237" s="1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4.25" customHeight="1">
      <c r="A238" s="1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4.25" customHeight="1">
      <c r="A239" s="1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4.25" customHeight="1">
      <c r="A240" s="1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4.25" customHeight="1">
      <c r="A241" s="1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4.25" customHeight="1">
      <c r="A242" s="1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4.25" customHeight="1">
      <c r="A243" s="1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4.25" customHeight="1">
      <c r="A244" s="1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headerFooter>
    <oddFooter>&amp;LDeveloped by Contextures Inc.&amp;Cwww.contextures.com&amp;R&amp;D</oddFooter>
  </headerFooter>
  <drawing r:id="rId1"/>
</worksheet>
</file>