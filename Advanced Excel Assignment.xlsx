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ehar\Downloads\"/>
    </mc:Choice>
  </mc:AlternateContent>
  <xr:revisionPtr revIDLastSave="0" documentId="13_ncr:1_{829D1488-345B-4432-9BF3-EB2C28AEAA0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  <sheet name="Sheet2" sheetId="2" r:id="rId2"/>
  </sheets>
  <calcPr calcId="191029"/>
  <pivotCaches>
    <pivotCache cacheId="2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 a="1"/>
  <c r="L11" i="1" s="1"/>
  <c r="L10" i="1"/>
  <c r="L9" i="1"/>
  <c r="L8" i="1"/>
  <c r="L6" i="1"/>
  <c r="L5" i="1"/>
  <c r="L4" i="1"/>
  <c r="L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<sst xmlns="http://schemas.openxmlformats.org/spreadsheetml/2006/main" count="311" uniqueCount="110">
  <si>
    <t>Lookup Function Questions</t>
  </si>
  <si>
    <t>Employee ID</t>
  </si>
  <si>
    <t>1. VLOOKUP Dept by Emp ID</t>
  </si>
  <si>
    <t>2. HLOOKUP Product Header</t>
  </si>
  <si>
    <t>3. XLOOKUP Region by Product</t>
  </si>
  <si>
    <t>4. VLOOKUP Unit Price</t>
  </si>
  <si>
    <t>5. INDEX+MATCH Unit Price</t>
  </si>
  <si>
    <t>6. XLOOKUP Total Sale by Emp</t>
  </si>
  <si>
    <t>7. XLOOKUP Units Sold by Product</t>
  </si>
  <si>
    <t>8. LOOKUP Last Name</t>
  </si>
  <si>
    <t>9. FILTER Units &gt; 90</t>
  </si>
  <si>
    <t>10. CHOOSE Example</t>
  </si>
  <si>
    <t>Pivot Table Questions</t>
  </si>
  <si>
    <t>1. Total Sales by Department</t>
  </si>
  <si>
    <t>2. Average Unit Price by Region</t>
  </si>
  <si>
    <t>3. Units Sold by Product (Chart)</t>
  </si>
  <si>
    <t>Name</t>
  </si>
  <si>
    <t>4. Sales Count by Region</t>
  </si>
  <si>
    <t>5. Sales by Employee</t>
  </si>
  <si>
    <t>6. Monthly Sales Grouped by Date</t>
  </si>
  <si>
    <t>Department</t>
  </si>
  <si>
    <t>7. Chart for Department Sales Over Time</t>
  </si>
  <si>
    <t>Product</t>
  </si>
  <si>
    <t>8. Slicer for Region</t>
  </si>
  <si>
    <t>Region</t>
  </si>
  <si>
    <t>9. Avg &amp; Max Unit Price per Product</t>
  </si>
  <si>
    <t>Units Sold</t>
  </si>
  <si>
    <t>10. Region-wise Product Sales Chart</t>
  </si>
  <si>
    <t>Unit Price</t>
  </si>
  <si>
    <t>Date of Sale</t>
  </si>
  <si>
    <t>Total Sale</t>
  </si>
  <si>
    <t>E1000</t>
  </si>
  <si>
    <t>Grace</t>
  </si>
  <si>
    <t>Finance</t>
  </si>
  <si>
    <t>Phone</t>
  </si>
  <si>
    <t>West</t>
  </si>
  <si>
    <t>E1001</t>
  </si>
  <si>
    <t>Tablet</t>
  </si>
  <si>
    <t>South</t>
  </si>
  <si>
    <t>E1002</t>
  </si>
  <si>
    <t>Frank</t>
  </si>
  <si>
    <t>Sales</t>
  </si>
  <si>
    <t>E1003</t>
  </si>
  <si>
    <t>David</t>
  </si>
  <si>
    <t>North</t>
  </si>
  <si>
    <t>E1004</t>
  </si>
  <si>
    <t>Monitor</t>
  </si>
  <si>
    <t>E1005</t>
  </si>
  <si>
    <t>Alice</t>
  </si>
  <si>
    <t>HR</t>
  </si>
  <si>
    <t>Laptop</t>
  </si>
  <si>
    <t>E1006</t>
  </si>
  <si>
    <t>E1007</t>
  </si>
  <si>
    <t>E1008</t>
  </si>
  <si>
    <t>Jack</t>
  </si>
  <si>
    <t>East</t>
  </si>
  <si>
    <t>E1009</t>
  </si>
  <si>
    <t>Marketing</t>
  </si>
  <si>
    <t>E1010</t>
  </si>
  <si>
    <t>Hannah</t>
  </si>
  <si>
    <t>IT</t>
  </si>
  <si>
    <t>E1011</t>
  </si>
  <si>
    <t>E1012</t>
  </si>
  <si>
    <t>Ivy</t>
  </si>
  <si>
    <t>E1013</t>
  </si>
  <si>
    <t>Eve</t>
  </si>
  <si>
    <t>E1014</t>
  </si>
  <si>
    <t>E1015</t>
  </si>
  <si>
    <t>E1016</t>
  </si>
  <si>
    <t>E1017</t>
  </si>
  <si>
    <t>E1018</t>
  </si>
  <si>
    <t>E1019</t>
  </si>
  <si>
    <t>E1020</t>
  </si>
  <si>
    <t>Bob</t>
  </si>
  <si>
    <t>E1021</t>
  </si>
  <si>
    <t>E1022</t>
  </si>
  <si>
    <t>E1023</t>
  </si>
  <si>
    <t>E1024</t>
  </si>
  <si>
    <t>E1025</t>
  </si>
  <si>
    <t>Charlie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</si>
  <si>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</si>
  <si>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</si>
  <si>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</si>
  <si>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</si>
  <si>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</si>
  <si>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</si>
  <si>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</si>
  <si>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</si>
  <si>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</si>
  <si>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</si>
  <si>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</si>
  <si>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</si>
  <si>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Keyboard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</si>
  <si>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</si>
  <si>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</si>
  <si>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</si>
  <si>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</si>
  <si>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</si>
  <si>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</si>
  <si>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</si>
  <si>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</si>
  <si>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</si>
  <si>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</si>
  <si>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</si>
  <si>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</si>
  <si>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Row Labels</t>
  </si>
  <si>
    <t>Grand Total</t>
  </si>
  <si>
    <t>Sum of Total Sale</t>
  </si>
  <si>
    <t>Average of Unit Price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</si>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</sst>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center" vertical="top"/>
    </xf>
    <xf numFmtId="0" fontId="4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 Excel Assignment.xlsx]Sheet1!PivotTable6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Sheet1!$M$30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Sheet1!$L$31:$L$36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Phone</c:v>
                </c:pt>
                <c:pt idx="4">
                  <c:v>Tablet</c:v>
                </c:pt>
              </c:strCache>
            </c:strRef>
          </c:cat>
          <c:val>
            <c:numRef>
              <c:f>Sheet1!$M$31:$M$36</c:f>
              <c:numCache>
                <c:formatCode>General</c:formatCode>
                <c:ptCount val="5"/>
                <c:pt idx="0">
                  <c:v>366</c:v>
                </c:pt>
                <c:pt idx="1">
                  <c:v>189</c:v>
                </c:pt>
                <c:pt idx="2">
                  <c:v>603</c:v>
                </c:pt>
                <c:pt idx="3">
                  <c:v>544</c:v>
                </c:pt>
                <c:pt idx="4">
                  <c:v>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C-46D3-82AE-993ACC81B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7027024"/>
        <c:axId val="1454106768"/>
        <c:axId val="0"/>
      </c:bar3DChart>
      <c:catAx>
        <c:axId val="144702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106768"/>
        <c:crosses val="autoZero"/>
        <c:auto val="1"/>
        <c:lblAlgn val="ctr"/>
        <c:lblOffset val="100"/>
        <c:noMultiLvlLbl val="0"/>
      </c:catAx>
      <c:valAx>
        <c:axId val="14541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2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231913</xdr:colOff>
      <xdr:row>23</xdr:row>
      <xdr:rowOff>187738</xdr:rowOff>
    </xdr:from>
    <xdr:to>
      <xdr:col>17</xdr:col>
      <xdr:colOff>541130</xdr:colOff>
      <xdr:row>36</xdr:row>
      <xdr:rowOff>85034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EECEF-2B4D-A9A2-40B6-0DD2F83F6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rin Navas" refreshedDate="46245.434904745372" createdVersion="8" refreshedVersion="8" minRefreshableVersion="3" recordCount="50" xr:uid="{E8D6826A-1D1B-4CD9-B83C-B0EBD158CD45}">
  <cacheSource type="worksheet">
    <worksheetSource ref="A1:I51" sheet="Sheet1"/>
  </cacheSource>
  <cacheFields count="9">
    <cacheField name="Employee ID" numFmtId="0">
      <sharedItems/>
    </cacheField>
    <cacheField name="Name" numFmtId="0">
      <sharedItems/>
    </cacheField>
    <cacheField name="Department" numFmtId="0">
      <sharedItems count="5">
        <s v="Finance"/>
        <s v="Sales"/>
        <s v="HR"/>
        <s v="Marketing"/>
        <s v="IT"/>
      </sharedItems>
    </cacheField>
    <cacheField name="Product" numFmtId="0">
      <sharedItems count="5">
        <s v="Phone"/>
        <s v="Tablet"/>
        <s v="Monitor"/>
        <s v="Laptop"/>
        <s v="Keyboard"/>
      </sharedItems>
    </cacheField>
    <cacheField name="Region" numFmtId="0">
      <sharedItems count="4">
        <s v="West"/>
        <s v="South"/>
        <s v="North"/>
        <s v="East"/>
      </sharedItems>
    </cacheField>
    <cacheField name="Units Sold" numFmtId="0">
      <sharedItems containsSemiMixedTypes="0" containsString="0" containsNumber="1" containsInteger="1" minValue="2" maxValue="99"/>
    </cacheField>
    <cacheField name="Unit Price" numFmtId="0">
      <sharedItems containsSemiMixedTypes="0" containsString="0" containsNumber="1" containsInteger="1" minValue="1042" maxValue="4983"/>
    </cacheField>
    <cacheField name="Date of Sale" numFmtId="164">
      <sharedItems containsSemiMixedTypes="0" containsNonDate="0" containsDate="1" containsString="0" minDate="2023-01-01T00:00:00" maxDate="2023-12-11T00:00:00"/>
    </cacheField>
    <cacheField name="Total Sale" numFmtId="0">
      <sharedItems containsSemiMixedTypes="0" containsString="0" containsNumber="1" containsInteger="1" minValue="4356" maxValue="4833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E1000"/>
    <s v="Grace"/>
    <x v="0"/>
    <x v="0"/>
    <x v="0"/>
    <n v="52"/>
    <n v="3890"/>
    <d v="2023-01-01T00:00:00"/>
    <n v="202280"/>
  </r>
  <r>
    <s v="E1001"/>
    <s v="Grace"/>
    <x v="0"/>
    <x v="1"/>
    <x v="1"/>
    <n v="20"/>
    <n v="1050"/>
    <d v="2023-01-08T00:00:00"/>
    <n v="21000"/>
  </r>
  <r>
    <s v="E1002"/>
    <s v="Frank"/>
    <x v="1"/>
    <x v="0"/>
    <x v="1"/>
    <n v="74"/>
    <n v="1334"/>
    <d v="2023-01-15T00:00:00"/>
    <n v="98716"/>
  </r>
  <r>
    <s v="E1003"/>
    <s v="David"/>
    <x v="0"/>
    <x v="0"/>
    <x v="2"/>
    <n v="12"/>
    <n v="2991"/>
    <d v="2023-01-22T00:00:00"/>
    <n v="35892"/>
  </r>
  <r>
    <s v="E1004"/>
    <s v="Frank"/>
    <x v="1"/>
    <x v="2"/>
    <x v="2"/>
    <n v="24"/>
    <n v="1326"/>
    <d v="2023-01-29T00:00:00"/>
    <n v="31824"/>
  </r>
  <r>
    <s v="E1005"/>
    <s v="Alice"/>
    <x v="2"/>
    <x v="3"/>
    <x v="2"/>
    <n v="26"/>
    <n v="2871"/>
    <d v="2023-02-05T00:00:00"/>
    <n v="74646"/>
  </r>
  <r>
    <s v="E1006"/>
    <s v="Alice"/>
    <x v="2"/>
    <x v="1"/>
    <x v="0"/>
    <n v="39"/>
    <n v="4625"/>
    <d v="2023-02-12T00:00:00"/>
    <n v="180375"/>
  </r>
  <r>
    <s v="E1007"/>
    <s v="Frank"/>
    <x v="0"/>
    <x v="1"/>
    <x v="0"/>
    <n v="36"/>
    <n v="2257"/>
    <d v="2023-02-19T00:00:00"/>
    <n v="81252"/>
  </r>
  <r>
    <s v="E1008"/>
    <s v="Jack"/>
    <x v="2"/>
    <x v="2"/>
    <x v="3"/>
    <n v="88"/>
    <n v="3168"/>
    <d v="2023-02-26T00:00:00"/>
    <n v="278784"/>
  </r>
  <r>
    <s v="E1009"/>
    <s v="Jack"/>
    <x v="3"/>
    <x v="1"/>
    <x v="2"/>
    <n v="95"/>
    <n v="2360"/>
    <d v="2023-03-05T00:00:00"/>
    <n v="224200"/>
  </r>
  <r>
    <s v="E1010"/>
    <s v="Hannah"/>
    <x v="4"/>
    <x v="0"/>
    <x v="2"/>
    <n v="16"/>
    <n v="4264"/>
    <d v="2023-03-12T00:00:00"/>
    <n v="68224"/>
  </r>
  <r>
    <s v="E1011"/>
    <s v="Frank"/>
    <x v="2"/>
    <x v="3"/>
    <x v="2"/>
    <n v="11"/>
    <n v="4003"/>
    <d v="2023-03-19T00:00:00"/>
    <n v="44033"/>
  </r>
  <r>
    <s v="E1012"/>
    <s v="Ivy"/>
    <x v="4"/>
    <x v="3"/>
    <x v="1"/>
    <n v="28"/>
    <n v="4411"/>
    <d v="2023-03-26T00:00:00"/>
    <n v="123508"/>
  </r>
  <r>
    <s v="E1013"/>
    <s v="Eve"/>
    <x v="2"/>
    <x v="2"/>
    <x v="3"/>
    <n v="76"/>
    <n v="4104"/>
    <d v="2023-04-02T00:00:00"/>
    <n v="311904"/>
  </r>
  <r>
    <s v="E1014"/>
    <s v="David"/>
    <x v="0"/>
    <x v="2"/>
    <x v="3"/>
    <n v="74"/>
    <n v="3342"/>
    <d v="2023-04-09T00:00:00"/>
    <n v="247308"/>
  </r>
  <r>
    <s v="E1015"/>
    <s v="David"/>
    <x v="0"/>
    <x v="2"/>
    <x v="2"/>
    <n v="47"/>
    <n v="1647"/>
    <d v="2023-04-16T00:00:00"/>
    <n v="77409"/>
  </r>
  <r>
    <s v="E1016"/>
    <s v="Jack"/>
    <x v="3"/>
    <x v="2"/>
    <x v="2"/>
    <n v="60"/>
    <n v="2045"/>
    <d v="2023-04-23T00:00:00"/>
    <n v="122700"/>
  </r>
  <r>
    <s v="E1017"/>
    <s v="Grace"/>
    <x v="4"/>
    <x v="2"/>
    <x v="1"/>
    <n v="62"/>
    <n v="3073"/>
    <d v="2023-04-30T00:00:00"/>
    <n v="190526"/>
  </r>
  <r>
    <s v="E1018"/>
    <s v="Frank"/>
    <x v="4"/>
    <x v="1"/>
    <x v="3"/>
    <n v="57"/>
    <n v="2641"/>
    <d v="2023-05-07T00:00:00"/>
    <n v="150537"/>
  </r>
  <r>
    <s v="E1019"/>
    <s v="Frank"/>
    <x v="4"/>
    <x v="2"/>
    <x v="1"/>
    <n v="32"/>
    <n v="1582"/>
    <d v="2023-05-14T00:00:00"/>
    <n v="50624"/>
  </r>
  <r>
    <s v="E1020"/>
    <s v="Bob"/>
    <x v="0"/>
    <x v="1"/>
    <x v="0"/>
    <n v="64"/>
    <n v="3773"/>
    <d v="2023-05-21T00:00:00"/>
    <n v="241472"/>
  </r>
  <r>
    <s v="E1021"/>
    <s v="Ivy"/>
    <x v="4"/>
    <x v="1"/>
    <x v="2"/>
    <n v="25"/>
    <n v="2213"/>
    <d v="2023-05-28T00:00:00"/>
    <n v="55325"/>
  </r>
  <r>
    <s v="E1022"/>
    <s v="Frank"/>
    <x v="0"/>
    <x v="0"/>
    <x v="2"/>
    <n v="43"/>
    <n v="1518"/>
    <d v="2023-06-04T00:00:00"/>
    <n v="65274"/>
  </r>
  <r>
    <s v="E1023"/>
    <s v="Eve"/>
    <x v="4"/>
    <x v="2"/>
    <x v="1"/>
    <n v="18"/>
    <n v="1042"/>
    <d v="2023-06-11T00:00:00"/>
    <n v="18756"/>
  </r>
  <r>
    <s v="E1024"/>
    <s v="Bob"/>
    <x v="1"/>
    <x v="2"/>
    <x v="3"/>
    <n v="2"/>
    <n v="2178"/>
    <d v="2023-06-18T00:00:00"/>
    <n v="4356"/>
  </r>
  <r>
    <s v="E1025"/>
    <s v="Charlie"/>
    <x v="2"/>
    <x v="0"/>
    <x v="3"/>
    <n v="84"/>
    <n v="4439"/>
    <d v="2023-06-25T00:00:00"/>
    <n v="372876"/>
  </r>
  <r>
    <s v="E1026"/>
    <s v="Frank"/>
    <x v="0"/>
    <x v="2"/>
    <x v="2"/>
    <n v="12"/>
    <n v="1148"/>
    <d v="2023-07-02T00:00:00"/>
    <n v="13776"/>
  </r>
  <r>
    <s v="E1027"/>
    <s v="Bob"/>
    <x v="0"/>
    <x v="1"/>
    <x v="3"/>
    <n v="65"/>
    <n v="4067"/>
    <d v="2023-07-09T00:00:00"/>
    <n v="264355"/>
  </r>
  <r>
    <s v="E1028"/>
    <s v="Ivy"/>
    <x v="2"/>
    <x v="3"/>
    <x v="3"/>
    <n v="30"/>
    <n v="3294"/>
    <d v="2023-07-16T00:00:00"/>
    <n v="98820"/>
  </r>
  <r>
    <s v="E1029"/>
    <s v="Eve"/>
    <x v="2"/>
    <x v="3"/>
    <x v="3"/>
    <n v="70"/>
    <n v="2269"/>
    <d v="2023-07-23T00:00:00"/>
    <n v="158830"/>
  </r>
  <r>
    <s v="E1030"/>
    <s v="Bob"/>
    <x v="1"/>
    <x v="1"/>
    <x v="2"/>
    <n v="87"/>
    <n v="2832"/>
    <d v="2023-07-30T00:00:00"/>
    <n v="246384"/>
  </r>
  <r>
    <s v="E1031"/>
    <s v="Ivy"/>
    <x v="0"/>
    <x v="0"/>
    <x v="1"/>
    <n v="33"/>
    <n v="3414"/>
    <d v="2023-08-06T00:00:00"/>
    <n v="112662"/>
  </r>
  <r>
    <s v="E1032"/>
    <s v="Alice"/>
    <x v="1"/>
    <x v="1"/>
    <x v="0"/>
    <n v="46"/>
    <n v="1579"/>
    <d v="2023-08-13T00:00:00"/>
    <n v="72634"/>
  </r>
  <r>
    <s v="E1033"/>
    <s v="David"/>
    <x v="2"/>
    <x v="2"/>
    <x v="0"/>
    <n v="14"/>
    <n v="1342"/>
    <d v="2023-08-20T00:00:00"/>
    <n v="18788"/>
  </r>
  <r>
    <s v="E1034"/>
    <s v="Grace"/>
    <x v="4"/>
    <x v="1"/>
    <x v="3"/>
    <n v="59"/>
    <n v="1297"/>
    <d v="2023-08-27T00:00:00"/>
    <n v="76523"/>
  </r>
  <r>
    <s v="E1035"/>
    <s v="Jack"/>
    <x v="2"/>
    <x v="1"/>
    <x v="3"/>
    <n v="71"/>
    <n v="4518"/>
    <d v="2023-09-03T00:00:00"/>
    <n v="320778"/>
  </r>
  <r>
    <s v="E1036"/>
    <s v="Ivy"/>
    <x v="3"/>
    <x v="2"/>
    <x v="2"/>
    <n v="80"/>
    <n v="2925"/>
    <d v="2023-09-10T00:00:00"/>
    <n v="234000"/>
  </r>
  <r>
    <s v="E1037"/>
    <s v="Frank"/>
    <x v="2"/>
    <x v="4"/>
    <x v="2"/>
    <n v="57"/>
    <n v="4951"/>
    <d v="2023-09-17T00:00:00"/>
    <n v="282207"/>
  </r>
  <r>
    <s v="E1038"/>
    <s v="David"/>
    <x v="4"/>
    <x v="0"/>
    <x v="0"/>
    <n v="37"/>
    <n v="1757"/>
    <d v="2023-09-24T00:00:00"/>
    <n v="65009"/>
  </r>
  <r>
    <s v="E1039"/>
    <s v="Grace"/>
    <x v="2"/>
    <x v="3"/>
    <x v="3"/>
    <n v="24"/>
    <n v="4412"/>
    <d v="2023-10-01T00:00:00"/>
    <n v="105888"/>
  </r>
  <r>
    <s v="E1040"/>
    <s v="Bob"/>
    <x v="1"/>
    <x v="2"/>
    <x v="0"/>
    <n v="14"/>
    <n v="1396"/>
    <d v="2023-10-08T00:00:00"/>
    <n v="19544"/>
  </r>
  <r>
    <s v="E1041"/>
    <s v="Jack"/>
    <x v="3"/>
    <x v="4"/>
    <x v="3"/>
    <n v="65"/>
    <n v="4050"/>
    <d v="2023-10-15T00:00:00"/>
    <n v="263250"/>
  </r>
  <r>
    <s v="E1042"/>
    <s v="Alice"/>
    <x v="3"/>
    <x v="1"/>
    <x v="3"/>
    <n v="99"/>
    <n v="3780"/>
    <d v="2023-10-22T00:00:00"/>
    <n v="374220"/>
  </r>
  <r>
    <s v="E1043"/>
    <s v="Jack"/>
    <x v="0"/>
    <x v="0"/>
    <x v="0"/>
    <n v="99"/>
    <n v="1075"/>
    <d v="2023-10-29T00:00:00"/>
    <n v="106425"/>
  </r>
  <r>
    <s v="E1044"/>
    <s v="David"/>
    <x v="3"/>
    <x v="1"/>
    <x v="0"/>
    <n v="82"/>
    <n v="2152"/>
    <d v="2023-11-05T00:00:00"/>
    <n v="176464"/>
  </r>
  <r>
    <s v="E1045"/>
    <s v="Frank"/>
    <x v="0"/>
    <x v="4"/>
    <x v="2"/>
    <n v="97"/>
    <n v="4983"/>
    <d v="2023-11-12T00:00:00"/>
    <n v="483351"/>
  </r>
  <r>
    <s v="E1046"/>
    <s v="David"/>
    <x v="2"/>
    <x v="0"/>
    <x v="0"/>
    <n v="94"/>
    <n v="4591"/>
    <d v="2023-11-19T00:00:00"/>
    <n v="431554"/>
  </r>
  <r>
    <s v="E1047"/>
    <s v="Alice"/>
    <x v="4"/>
    <x v="1"/>
    <x v="0"/>
    <n v="63"/>
    <n v="1793"/>
    <d v="2023-11-26T00:00:00"/>
    <n v="112959"/>
  </r>
  <r>
    <s v="E1048"/>
    <s v="David"/>
    <x v="2"/>
    <x v="4"/>
    <x v="1"/>
    <n v="64"/>
    <n v="3764"/>
    <d v="2023-12-03T00:00:00"/>
    <n v="240896"/>
  </r>
  <r>
    <s v="E1049"/>
    <s v="Jack"/>
    <x v="0"/>
    <x v="4"/>
    <x v="1"/>
    <n v="83"/>
    <n v="4055"/>
    <d v="2023-12-10T00:00:00"/>
    <n v="3365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D80D4-C037-452C-A0CC-1EE80A9A5CC1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9:M44" firstHeaderRow="1" firstDataRow="1" firstDataCol="1"/>
  <pivotFields count="9"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  <pivotField showAll="0"/>
    <pivotField numFmtId="164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370F9-D642-448E-991A-33ED37F1D5C0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30:M36" firstHeaderRow="1" firstDataRow="1" firstDataCol="1"/>
  <pivotFields count="9">
    <pivotField showAll="0"/>
    <pivotField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dataField="1" showAll="0"/>
    <pivotField showAll="0"/>
    <pivotField numFmtId="164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EB90C-19D7-4F61-BBEE-BE54F863B176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3:M28" firstHeaderRow="1" firstDataRow="1" firstDataCol="1"/>
  <pivotFields count="9"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numFmtId="164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 Price" fld="6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89130-7354-4519-8894-2ADEBD6E7D1E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5:M21" firstHeaderRow="1" firstDataRow="1" firstDataCol="1"/>
  <pivotFields count="9"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  <pivotField showAll="0"/>
    <pivotField numFmtId="164"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1"/>
  <sheetViews>
    <sheetView tabSelected="1" topLeftCell="I28" zoomScale="69" workbookViewId="0">
      <selection activeCell="L46" sqref="L46"/>
    </sheetView>
  </sheetViews>
  <sheetFormatPr defaultColWidth="12.6640625" defaultRowHeight="15.75" customHeight="1" x14ac:dyDescent="0.25"/>
  <cols>
    <col min="7" max="7" width="15.21875" customWidth="1"/>
    <col min="8" max="8" width="17" bestFit="1" customWidth="1"/>
    <col min="12" max="12" width="14.88671875" bestFit="1" customWidth="1"/>
    <col min="13" max="13" width="17.33203125" bestFit="1" customWidth="1"/>
  </cols>
  <sheetData>
    <row r="1" spans="1:13" ht="14.4" x14ac:dyDescent="0.25">
      <c r="A1" s="3" t="s">
        <v>1</v>
      </c>
      <c r="B1" s="3" t="s">
        <v>16</v>
      </c>
      <c r="C1" s="3" t="s">
        <v>20</v>
      </c>
      <c r="D1" s="3" t="s">
        <v>22</v>
      </c>
      <c r="E1" s="3" t="s">
        <v>24</v>
      </c>
      <c r="F1" s="3" t="s">
        <v>26</v>
      </c>
      <c r="G1" s="3" t="s">
        <v>28</v>
      </c>
      <c r="H1" s="3" t="s">
        <v>29</v>
      </c>
      <c r="I1" s="3" t="s">
        <v>30</v>
      </c>
      <c r="J1" s="6"/>
    </row>
    <row r="2" spans="1:13" ht="15.75" customHeight="1" x14ac:dyDescent="0.3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4">
        <v>52</v>
      </c>
      <c r="G2" s="4">
        <v>3890</v>
      </c>
      <c r="H2" s="5">
        <v>44927</v>
      </c>
      <c r="I2" s="4">
        <v>202280</v>
      </c>
      <c r="J2" s="4"/>
    </row>
    <row r="3" spans="1:13" ht="15.75" customHeight="1" x14ac:dyDescent="0.3">
      <c r="A3" s="2" t="s">
        <v>36</v>
      </c>
      <c r="B3" s="2" t="s">
        <v>32</v>
      </c>
      <c r="C3" s="2" t="s">
        <v>33</v>
      </c>
      <c r="D3" s="2" t="s">
        <v>37</v>
      </c>
      <c r="E3" s="2" t="s">
        <v>38</v>
      </c>
      <c r="F3" s="4">
        <v>20</v>
      </c>
      <c r="G3" s="4">
        <v>1050</v>
      </c>
      <c r="H3" s="5">
        <v>44934</v>
      </c>
      <c r="I3" s="4">
        <v>21000</v>
      </c>
      <c r="J3" s="4"/>
      <c r="K3" s="7">
        <v>1</v>
      </c>
      <c r="L3" t="str">
        <f>VLOOKUP(A9,A1:I51,3,TRUE)</f>
        <v>Finance</v>
      </c>
    </row>
    <row r="4" spans="1:13" ht="15.75" customHeight="1" x14ac:dyDescent="0.3">
      <c r="A4" s="2" t="s">
        <v>39</v>
      </c>
      <c r="B4" s="2" t="s">
        <v>40</v>
      </c>
      <c r="C4" s="2" t="s">
        <v>41</v>
      </c>
      <c r="D4" s="2" t="s">
        <v>34</v>
      </c>
      <c r="E4" s="2" t="s">
        <v>38</v>
      </c>
      <c r="F4" s="4">
        <v>74</v>
      </c>
      <c r="G4" s="4">
        <v>1334</v>
      </c>
      <c r="H4" s="5">
        <v>44941</v>
      </c>
      <c r="I4" s="4">
        <v>98716</v>
      </c>
      <c r="J4" s="4"/>
      <c r="K4" s="7">
        <v>2</v>
      </c>
      <c r="L4" t="str">
        <f>HLOOKUP(D4,A1:I51,51,TRUE)</f>
        <v>Finance</v>
      </c>
    </row>
    <row r="5" spans="1:13" ht="15.75" customHeight="1" x14ac:dyDescent="0.3">
      <c r="A5" s="2" t="s">
        <v>42</v>
      </c>
      <c r="B5" s="2" t="s">
        <v>43</v>
      </c>
      <c r="C5" s="2" t="s">
        <v>33</v>
      </c>
      <c r="D5" s="2" t="s">
        <v>34</v>
      </c>
      <c r="E5" s="2" t="s">
        <v>44</v>
      </c>
      <c r="F5" s="4">
        <v>12</v>
      </c>
      <c r="G5" s="4">
        <v>2991</v>
      </c>
      <c r="H5" s="5">
        <v>44948</v>
      </c>
      <c r="I5" s="4">
        <v>35892</v>
      </c>
      <c r="J5" s="4"/>
      <c r="K5" s="7">
        <v>3</v>
      </c>
      <c r="L5" t="str">
        <f>_xlfn.XLOOKUP(D3,D1:D51,E1:E51)</f>
        <v>South</v>
      </c>
    </row>
    <row r="6" spans="1:13" ht="15.75" customHeight="1" x14ac:dyDescent="0.3">
      <c r="A6" s="2" t="s">
        <v>45</v>
      </c>
      <c r="B6" s="2" t="s">
        <v>40</v>
      </c>
      <c r="C6" s="2" t="s">
        <v>41</v>
      </c>
      <c r="D6" s="2" t="s">
        <v>46</v>
      </c>
      <c r="E6" s="2" t="s">
        <v>44</v>
      </c>
      <c r="F6" s="4">
        <v>24</v>
      </c>
      <c r="G6" s="4">
        <v>1326</v>
      </c>
      <c r="H6" s="5">
        <v>44955</v>
      </c>
      <c r="I6" s="4">
        <v>31824</v>
      </c>
      <c r="J6" s="4"/>
      <c r="K6" s="7">
        <v>4</v>
      </c>
      <c r="L6">
        <f>VLOOKUP(D10,A1:I51,7,TRUE)</f>
        <v>4055</v>
      </c>
    </row>
    <row r="7" spans="1:13" ht="15.75" customHeight="1" x14ac:dyDescent="0.3">
      <c r="A7" s="2" t="s">
        <v>47</v>
      </c>
      <c r="B7" s="2" t="s">
        <v>48</v>
      </c>
      <c r="C7" s="2" t="s">
        <v>49</v>
      </c>
      <c r="D7" s="2" t="s">
        <v>50</v>
      </c>
      <c r="E7" s="2" t="s">
        <v>44</v>
      </c>
      <c r="F7" s="4">
        <v>26</v>
      </c>
      <c r="G7" s="4">
        <v>2871</v>
      </c>
      <c r="H7" s="5">
        <v>44962</v>
      </c>
      <c r="I7" s="4">
        <v>74646</v>
      </c>
      <c r="J7" s="4"/>
      <c r="K7" s="7">
        <v>5</v>
      </c>
    </row>
    <row r="8" spans="1:13" ht="15.75" customHeight="1" x14ac:dyDescent="0.3">
      <c r="A8" s="2" t="s">
        <v>51</v>
      </c>
      <c r="B8" s="2" t="s">
        <v>48</v>
      </c>
      <c r="C8" s="2" t="s">
        <v>49</v>
      </c>
      <c r="D8" s="2" t="s">
        <v>37</v>
      </c>
      <c r="E8" s="2" t="s">
        <v>35</v>
      </c>
      <c r="F8" s="4">
        <v>39</v>
      </c>
      <c r="G8" s="4">
        <v>4625</v>
      </c>
      <c r="H8" s="5">
        <v>44969</v>
      </c>
      <c r="I8" s="4">
        <v>180375</v>
      </c>
      <c r="J8" s="4"/>
      <c r="K8" s="7">
        <v>6</v>
      </c>
      <c r="L8">
        <f>_xlfn.XLOOKUP(A12,A1:A51,I1:I51)</f>
        <v>68224</v>
      </c>
    </row>
    <row r="9" spans="1:13" ht="15.75" customHeight="1" x14ac:dyDescent="0.3">
      <c r="A9" s="2" t="s">
        <v>52</v>
      </c>
      <c r="B9" s="2" t="s">
        <v>40</v>
      </c>
      <c r="C9" s="2" t="s">
        <v>33</v>
      </c>
      <c r="D9" s="2" t="s">
        <v>37</v>
      </c>
      <c r="E9" s="2" t="s">
        <v>35</v>
      </c>
      <c r="F9" s="4">
        <v>36</v>
      </c>
      <c r="G9" s="4">
        <v>2257</v>
      </c>
      <c r="H9" s="5">
        <v>44976</v>
      </c>
      <c r="I9" s="4">
        <v>81252</v>
      </c>
      <c r="J9" s="4"/>
      <c r="K9" s="7">
        <v>7</v>
      </c>
      <c r="L9">
        <f>_xlfn.XLOOKUP(D12,D1:D51,F1:F51)</f>
        <v>52</v>
      </c>
    </row>
    <row r="10" spans="1:13" ht="15.75" customHeight="1" x14ac:dyDescent="0.3">
      <c r="A10" s="2" t="s">
        <v>53</v>
      </c>
      <c r="B10" s="2" t="s">
        <v>54</v>
      </c>
      <c r="C10" s="2" t="s">
        <v>49</v>
      </c>
      <c r="D10" s="2" t="s">
        <v>46</v>
      </c>
      <c r="E10" s="2" t="s">
        <v>55</v>
      </c>
      <c r="F10" s="4">
        <v>88</v>
      </c>
      <c r="G10" s="4">
        <v>3168</v>
      </c>
      <c r="H10" s="5">
        <v>44983</v>
      </c>
      <c r="I10" s="4">
        <v>278784</v>
      </c>
      <c r="J10" s="4"/>
      <c r="K10" s="7">
        <v>8</v>
      </c>
      <c r="L10" t="str">
        <f>LOOKUP(B49,B2:B51)</f>
        <v>Alice</v>
      </c>
    </row>
    <row r="11" spans="1:13" ht="15.75" customHeight="1" x14ac:dyDescent="0.3">
      <c r="A11" s="2" t="s">
        <v>56</v>
      </c>
      <c r="B11" s="2" t="s">
        <v>54</v>
      </c>
      <c r="C11" s="2" t="s">
        <v>57</v>
      </c>
      <c r="D11" s="2" t="s">
        <v>37</v>
      </c>
      <c r="E11" s="2" t="s">
        <v>44</v>
      </c>
      <c r="F11" s="4">
        <v>95</v>
      </c>
      <c r="G11" s="4">
        <v>2360</v>
      </c>
      <c r="H11" s="5">
        <v>44990</v>
      </c>
      <c r="I11" s="4">
        <v>224200</v>
      </c>
      <c r="J11" s="4"/>
      <c r="K11" s="7">
        <v>9</v>
      </c>
      <c r="L11" t="str" cm="1">
        <f t="array" ref="L11:M12">_xlfn._xlws.FILTER(D1:E19,F1:F19&gt;90)</f>
        <v>Product</v>
      </c>
      <c r="M11" t="str">
        <v>Region</v>
      </c>
    </row>
    <row r="12" spans="1:13" ht="15.75" customHeight="1" x14ac:dyDescent="0.3">
      <c r="A12" s="2" t="s">
        <v>58</v>
      </c>
      <c r="B12" s="2" t="s">
        <v>59</v>
      </c>
      <c r="C12" s="2" t="s">
        <v>60</v>
      </c>
      <c r="D12" s="2" t="s">
        <v>34</v>
      </c>
      <c r="E12" s="2" t="s">
        <v>44</v>
      </c>
      <c r="F12" s="4">
        <v>16</v>
      </c>
      <c r="G12" s="4">
        <v>4264</v>
      </c>
      <c r="H12" s="5">
        <v>44997</v>
      </c>
      <c r="I12" s="4">
        <v>68224</v>
      </c>
      <c r="J12" s="4"/>
      <c r="L12" t="str">
        <v>Tablet</v>
      </c>
      <c r="M12" t="str">
        <v>North</v>
      </c>
    </row>
    <row r="13" spans="1:13" ht="15.75" customHeight="1" x14ac:dyDescent="0.3">
      <c r="A13" s="2" t="s">
        <v>61</v>
      </c>
      <c r="B13" s="2" t="s">
        <v>40</v>
      </c>
      <c r="C13" s="2" t="s">
        <v>49</v>
      </c>
      <c r="D13" s="2" t="s">
        <v>50</v>
      </c>
      <c r="E13" s="2" t="s">
        <v>44</v>
      </c>
      <c r="F13" s="4">
        <v>11</v>
      </c>
      <c r="G13" s="4">
        <v>4003</v>
      </c>
      <c r="H13" s="5">
        <v>45004</v>
      </c>
      <c r="I13" s="4">
        <v>44033</v>
      </c>
      <c r="J13" s="4"/>
    </row>
    <row r="14" spans="1:13" ht="15.75" customHeight="1" x14ac:dyDescent="0.3">
      <c r="A14" s="2" t="s">
        <v>62</v>
      </c>
      <c r="B14" s="2" t="s">
        <v>63</v>
      </c>
      <c r="C14" s="2" t="s">
        <v>60</v>
      </c>
      <c r="D14" s="2" t="s">
        <v>50</v>
      </c>
      <c r="E14" s="2" t="s">
        <v>38</v>
      </c>
      <c r="F14" s="4">
        <v>28</v>
      </c>
      <c r="G14" s="4">
        <v>4411</v>
      </c>
      <c r="H14" s="5">
        <v>45011</v>
      </c>
      <c r="I14" s="4">
        <v>123508</v>
      </c>
      <c r="J14" s="4"/>
    </row>
    <row r="15" spans="1:13" ht="15.75" customHeight="1" x14ac:dyDescent="0.3">
      <c r="A15" s="2" t="s">
        <v>64</v>
      </c>
      <c r="B15" s="2" t="s">
        <v>65</v>
      </c>
      <c r="C15" s="2" t="s">
        <v>49</v>
      </c>
      <c r="D15" s="2" t="s">
        <v>46</v>
      </c>
      <c r="E15" s="2" t="s">
        <v>55</v>
      </c>
      <c r="F15" s="4">
        <v>76</v>
      </c>
      <c r="G15" s="4">
        <v>4104</v>
      </c>
      <c r="H15" s="5">
        <v>45018</v>
      </c>
      <c r="I15" s="4">
        <v>311904</v>
      </c>
      <c r="J15" s="4"/>
      <c r="K15" s="7">
        <v>1</v>
      </c>
      <c r="L15" s="8" t="s">
        <v>105</v>
      </c>
      <c r="M15" t="s">
        <v>107</v>
      </c>
    </row>
    <row r="16" spans="1:13" ht="15.75" customHeight="1" x14ac:dyDescent="0.3">
      <c r="A16" s="2" t="s">
        <v>66</v>
      </c>
      <c r="B16" s="2" t="s">
        <v>43</v>
      </c>
      <c r="C16" s="2" t="s">
        <v>33</v>
      </c>
      <c r="D16" s="2" t="s">
        <v>46</v>
      </c>
      <c r="E16" s="2" t="s">
        <v>55</v>
      </c>
      <c r="F16" s="4">
        <v>74</v>
      </c>
      <c r="G16" s="4">
        <v>3342</v>
      </c>
      <c r="H16" s="5">
        <v>45025</v>
      </c>
      <c r="I16" s="4">
        <v>247308</v>
      </c>
      <c r="J16" s="4"/>
      <c r="L16" s="9" t="s">
        <v>33</v>
      </c>
      <c r="M16" s="10">
        <v>2289021</v>
      </c>
    </row>
    <row r="17" spans="1:13" ht="15.75" customHeight="1" x14ac:dyDescent="0.3">
      <c r="A17" s="2" t="s">
        <v>67</v>
      </c>
      <c r="B17" s="2" t="s">
        <v>43</v>
      </c>
      <c r="C17" s="2" t="s">
        <v>33</v>
      </c>
      <c r="D17" s="2" t="s">
        <v>46</v>
      </c>
      <c r="E17" s="2" t="s">
        <v>44</v>
      </c>
      <c r="F17" s="4">
        <v>47</v>
      </c>
      <c r="G17" s="4">
        <v>1647</v>
      </c>
      <c r="H17" s="5">
        <v>45032</v>
      </c>
      <c r="I17" s="4">
        <v>77409</v>
      </c>
      <c r="J17" s="4"/>
      <c r="L17" s="9" t="s">
        <v>49</v>
      </c>
      <c r="M17" s="10">
        <v>2920379</v>
      </c>
    </row>
    <row r="18" spans="1:13" ht="15.75" customHeight="1" x14ac:dyDescent="0.3">
      <c r="A18" s="2" t="s">
        <v>68</v>
      </c>
      <c r="B18" s="2" t="s">
        <v>54</v>
      </c>
      <c r="C18" s="2" t="s">
        <v>57</v>
      </c>
      <c r="D18" s="2" t="s">
        <v>46</v>
      </c>
      <c r="E18" s="2" t="s">
        <v>44</v>
      </c>
      <c r="F18" s="4">
        <v>60</v>
      </c>
      <c r="G18" s="4">
        <v>2045</v>
      </c>
      <c r="H18" s="5">
        <v>45039</v>
      </c>
      <c r="I18" s="4">
        <v>122700</v>
      </c>
      <c r="J18" s="4"/>
      <c r="L18" s="9" t="s">
        <v>60</v>
      </c>
      <c r="M18" s="10">
        <v>911991</v>
      </c>
    </row>
    <row r="19" spans="1:13" ht="15.75" customHeight="1" x14ac:dyDescent="0.3">
      <c r="A19" s="2" t="s">
        <v>69</v>
      </c>
      <c r="B19" s="2" t="s">
        <v>32</v>
      </c>
      <c r="C19" s="2" t="s">
        <v>60</v>
      </c>
      <c r="D19" s="2" t="s">
        <v>46</v>
      </c>
      <c r="E19" s="2" t="s">
        <v>38</v>
      </c>
      <c r="F19" s="4">
        <v>62</v>
      </c>
      <c r="G19" s="4">
        <v>3073</v>
      </c>
      <c r="H19" s="5">
        <v>45046</v>
      </c>
      <c r="I19" s="4">
        <v>190526</v>
      </c>
      <c r="J19" s="4"/>
      <c r="L19" s="9" t="s">
        <v>57</v>
      </c>
      <c r="M19" s="10">
        <v>1394834</v>
      </c>
    </row>
    <row r="20" spans="1:13" ht="15.75" customHeight="1" x14ac:dyDescent="0.3">
      <c r="A20" s="2" t="s">
        <v>70</v>
      </c>
      <c r="B20" s="2" t="s">
        <v>40</v>
      </c>
      <c r="C20" s="2" t="s">
        <v>60</v>
      </c>
      <c r="D20" s="2" t="s">
        <v>37</v>
      </c>
      <c r="E20" s="2" t="s">
        <v>55</v>
      </c>
      <c r="F20" s="4">
        <v>57</v>
      </c>
      <c r="G20" s="4">
        <v>2641</v>
      </c>
      <c r="H20" s="5">
        <v>45053</v>
      </c>
      <c r="I20" s="4">
        <v>150537</v>
      </c>
      <c r="J20" s="4"/>
      <c r="L20" s="9" t="s">
        <v>41</v>
      </c>
      <c r="M20" s="10">
        <v>473458</v>
      </c>
    </row>
    <row r="21" spans="1:13" ht="15.75" customHeight="1" x14ac:dyDescent="0.3">
      <c r="A21" s="2" t="s">
        <v>71</v>
      </c>
      <c r="B21" s="2" t="s">
        <v>40</v>
      </c>
      <c r="C21" s="2" t="s">
        <v>60</v>
      </c>
      <c r="D21" s="2" t="s">
        <v>46</v>
      </c>
      <c r="E21" s="2" t="s">
        <v>38</v>
      </c>
      <c r="F21" s="4">
        <v>32</v>
      </c>
      <c r="G21" s="4">
        <v>1582</v>
      </c>
      <c r="H21" s="5">
        <v>45060</v>
      </c>
      <c r="I21" s="4">
        <v>50624</v>
      </c>
      <c r="J21" s="4"/>
      <c r="L21" s="9" t="s">
        <v>106</v>
      </c>
      <c r="M21" s="10">
        <v>7989683</v>
      </c>
    </row>
    <row r="22" spans="1:13" ht="15.75" customHeight="1" x14ac:dyDescent="0.3">
      <c r="A22" s="2" t="s">
        <v>72</v>
      </c>
      <c r="B22" s="2" t="s">
        <v>73</v>
      </c>
      <c r="C22" s="2" t="s">
        <v>33</v>
      </c>
      <c r="D22" s="2" t="s">
        <v>37</v>
      </c>
      <c r="E22" s="2" t="s">
        <v>35</v>
      </c>
      <c r="F22" s="4">
        <v>64</v>
      </c>
      <c r="G22" s="4">
        <v>3773</v>
      </c>
      <c r="H22" s="5">
        <v>45067</v>
      </c>
      <c r="I22" s="4">
        <v>241472</v>
      </c>
      <c r="J22" s="4"/>
    </row>
    <row r="23" spans="1:13" ht="15.75" customHeight="1" x14ac:dyDescent="0.3">
      <c r="A23" s="2" t="s">
        <v>74</v>
      </c>
      <c r="B23" s="2" t="s">
        <v>63</v>
      </c>
      <c r="C23" s="2" t="s">
        <v>60</v>
      </c>
      <c r="D23" s="2" t="s">
        <v>37</v>
      </c>
      <c r="E23" s="2" t="s">
        <v>44</v>
      </c>
      <c r="F23" s="4">
        <v>25</v>
      </c>
      <c r="G23" s="4">
        <v>2213</v>
      </c>
      <c r="H23" s="5">
        <v>45074</v>
      </c>
      <c r="I23" s="4">
        <v>55325</v>
      </c>
      <c r="J23" s="4"/>
      <c r="K23" s="7">
        <v>2</v>
      </c>
      <c r="L23" s="8" t="s">
        <v>105</v>
      </c>
      <c r="M23" t="s">
        <v>108</v>
      </c>
    </row>
    <row r="24" spans="1:13" ht="15.75" customHeight="1" x14ac:dyDescent="0.3">
      <c r="A24" s="2" t="s">
        <v>75</v>
      </c>
      <c r="B24" s="2" t="s">
        <v>40</v>
      </c>
      <c r="C24" s="2" t="s">
        <v>33</v>
      </c>
      <c r="D24" s="2" t="s">
        <v>34</v>
      </c>
      <c r="E24" s="2" t="s">
        <v>44</v>
      </c>
      <c r="F24" s="4">
        <v>43</v>
      </c>
      <c r="G24" s="4">
        <v>1518</v>
      </c>
      <c r="H24" s="5">
        <v>45081</v>
      </c>
      <c r="I24" s="4">
        <v>65274</v>
      </c>
      <c r="J24" s="4"/>
      <c r="L24" s="9" t="s">
        <v>55</v>
      </c>
      <c r="M24" s="10">
        <v>3397.0714285714284</v>
      </c>
    </row>
    <row r="25" spans="1:13" ht="15.75" customHeight="1" x14ac:dyDescent="0.3">
      <c r="A25" s="2" t="s">
        <v>76</v>
      </c>
      <c r="B25" s="2" t="s">
        <v>65</v>
      </c>
      <c r="C25" s="2" t="s">
        <v>60</v>
      </c>
      <c r="D25" s="2" t="s">
        <v>46</v>
      </c>
      <c r="E25" s="2" t="s">
        <v>38</v>
      </c>
      <c r="F25" s="4">
        <v>18</v>
      </c>
      <c r="G25" s="4">
        <v>1042</v>
      </c>
      <c r="H25" s="5">
        <v>45088</v>
      </c>
      <c r="I25" s="4">
        <v>18756</v>
      </c>
      <c r="J25" s="4"/>
      <c r="L25" s="9" t="s">
        <v>44</v>
      </c>
      <c r="M25" s="10">
        <v>2805.1333333333332</v>
      </c>
    </row>
    <row r="26" spans="1:13" ht="15.75" customHeight="1" x14ac:dyDescent="0.3">
      <c r="A26" s="2" t="s">
        <v>77</v>
      </c>
      <c r="B26" s="2" t="s">
        <v>73</v>
      </c>
      <c r="C26" s="2" t="s">
        <v>41</v>
      </c>
      <c r="D26" s="2" t="s">
        <v>46</v>
      </c>
      <c r="E26" s="2" t="s">
        <v>55</v>
      </c>
      <c r="F26" s="4">
        <v>2</v>
      </c>
      <c r="G26" s="4">
        <v>2178</v>
      </c>
      <c r="H26" s="5">
        <v>45095</v>
      </c>
      <c r="I26" s="4">
        <v>4356</v>
      </c>
      <c r="J26" s="4"/>
      <c r="L26" s="9" t="s">
        <v>38</v>
      </c>
      <c r="M26" s="10">
        <v>2636.1111111111113</v>
      </c>
    </row>
    <row r="27" spans="1:13" ht="14.4" x14ac:dyDescent="0.3">
      <c r="A27" s="2" t="s">
        <v>78</v>
      </c>
      <c r="B27" s="2" t="s">
        <v>79</v>
      </c>
      <c r="C27" s="2" t="s">
        <v>49</v>
      </c>
      <c r="D27" s="2" t="s">
        <v>34</v>
      </c>
      <c r="E27" s="2" t="s">
        <v>55</v>
      </c>
      <c r="F27" s="4">
        <v>84</v>
      </c>
      <c r="G27" s="4">
        <v>4439</v>
      </c>
      <c r="H27" s="5">
        <v>45102</v>
      </c>
      <c r="I27" s="4">
        <v>372876</v>
      </c>
      <c r="J27" s="4"/>
      <c r="L27" s="9" t="s">
        <v>35</v>
      </c>
      <c r="M27" s="10">
        <v>2519.1666666666665</v>
      </c>
    </row>
    <row r="28" spans="1:13" ht="14.4" x14ac:dyDescent="0.3">
      <c r="A28" s="2" t="s">
        <v>80</v>
      </c>
      <c r="B28" s="2" t="s">
        <v>40</v>
      </c>
      <c r="C28" s="2" t="s">
        <v>33</v>
      </c>
      <c r="D28" s="2" t="s">
        <v>46</v>
      </c>
      <c r="E28" s="2" t="s">
        <v>44</v>
      </c>
      <c r="F28" s="4">
        <v>12</v>
      </c>
      <c r="G28" s="4">
        <v>1148</v>
      </c>
      <c r="H28" s="5">
        <v>45109</v>
      </c>
      <c r="I28" s="4">
        <v>13776</v>
      </c>
      <c r="J28" s="4"/>
      <c r="L28" s="9" t="s">
        <v>106</v>
      </c>
      <c r="M28" s="10">
        <v>2871.82</v>
      </c>
    </row>
    <row r="29" spans="1:13" ht="14.4" x14ac:dyDescent="0.3">
      <c r="A29" s="2" t="s">
        <v>81</v>
      </c>
      <c r="B29" s="2" t="s">
        <v>73</v>
      </c>
      <c r="C29" s="2" t="s">
        <v>33</v>
      </c>
      <c r="D29" s="2" t="s">
        <v>37</v>
      </c>
      <c r="E29" s="2" t="s">
        <v>55</v>
      </c>
      <c r="F29" s="4">
        <v>65</v>
      </c>
      <c r="G29" s="4">
        <v>4067</v>
      </c>
      <c r="H29" s="5">
        <v>45116</v>
      </c>
      <c r="I29" s="4">
        <v>264355</v>
      </c>
      <c r="J29" s="4"/>
    </row>
    <row r="30" spans="1:13" ht="14.4" x14ac:dyDescent="0.3">
      <c r="A30" s="2" t="s">
        <v>82</v>
      </c>
      <c r="B30" s="2" t="s">
        <v>63</v>
      </c>
      <c r="C30" s="2" t="s">
        <v>49</v>
      </c>
      <c r="D30" s="2" t="s">
        <v>50</v>
      </c>
      <c r="E30" s="2" t="s">
        <v>55</v>
      </c>
      <c r="F30" s="4">
        <v>30</v>
      </c>
      <c r="G30" s="4">
        <v>3294</v>
      </c>
      <c r="H30" s="5">
        <v>45123</v>
      </c>
      <c r="I30" s="4">
        <v>98820</v>
      </c>
      <c r="J30" s="4"/>
      <c r="K30" s="7">
        <v>3</v>
      </c>
      <c r="L30" s="8" t="s">
        <v>105</v>
      </c>
      <c r="M30" t="s">
        <v>109</v>
      </c>
    </row>
    <row r="31" spans="1:13" ht="14.4" x14ac:dyDescent="0.3">
      <c r="A31" s="2" t="s">
        <v>83</v>
      </c>
      <c r="B31" s="2" t="s">
        <v>65</v>
      </c>
      <c r="C31" s="2" t="s">
        <v>49</v>
      </c>
      <c r="D31" s="2" t="s">
        <v>50</v>
      </c>
      <c r="E31" s="2" t="s">
        <v>55</v>
      </c>
      <c r="F31" s="4">
        <v>70</v>
      </c>
      <c r="G31" s="4">
        <v>2269</v>
      </c>
      <c r="H31" s="5">
        <v>45130</v>
      </c>
      <c r="I31" s="4">
        <v>158830</v>
      </c>
      <c r="J31" s="4"/>
      <c r="L31" s="9" t="s">
        <v>92</v>
      </c>
      <c r="M31" s="10">
        <v>366</v>
      </c>
    </row>
    <row r="32" spans="1:13" ht="14.4" x14ac:dyDescent="0.3">
      <c r="A32" s="2" t="s">
        <v>84</v>
      </c>
      <c r="B32" s="2" t="s">
        <v>73</v>
      </c>
      <c r="C32" s="2" t="s">
        <v>41</v>
      </c>
      <c r="D32" s="2" t="s">
        <v>37</v>
      </c>
      <c r="E32" s="2" t="s">
        <v>44</v>
      </c>
      <c r="F32" s="4">
        <v>87</v>
      </c>
      <c r="G32" s="4">
        <v>2832</v>
      </c>
      <c r="H32" s="5">
        <v>45137</v>
      </c>
      <c r="I32" s="4">
        <v>246384</v>
      </c>
      <c r="J32" s="4"/>
      <c r="L32" s="9" t="s">
        <v>50</v>
      </c>
      <c r="M32" s="10">
        <v>189</v>
      </c>
    </row>
    <row r="33" spans="1:13" ht="14.4" x14ac:dyDescent="0.3">
      <c r="A33" s="2" t="s">
        <v>85</v>
      </c>
      <c r="B33" s="2" t="s">
        <v>63</v>
      </c>
      <c r="C33" s="2" t="s">
        <v>33</v>
      </c>
      <c r="D33" s="2" t="s">
        <v>34</v>
      </c>
      <c r="E33" s="2" t="s">
        <v>38</v>
      </c>
      <c r="F33" s="4">
        <v>33</v>
      </c>
      <c r="G33" s="4">
        <v>3414</v>
      </c>
      <c r="H33" s="5">
        <v>45144</v>
      </c>
      <c r="I33" s="4">
        <v>112662</v>
      </c>
      <c r="J33" s="4"/>
      <c r="L33" s="9" t="s">
        <v>46</v>
      </c>
      <c r="M33" s="10">
        <v>603</v>
      </c>
    </row>
    <row r="34" spans="1:13" ht="14.4" x14ac:dyDescent="0.3">
      <c r="A34" s="2" t="s">
        <v>86</v>
      </c>
      <c r="B34" s="2" t="s">
        <v>48</v>
      </c>
      <c r="C34" s="2" t="s">
        <v>41</v>
      </c>
      <c r="D34" s="2" t="s">
        <v>37</v>
      </c>
      <c r="E34" s="2" t="s">
        <v>35</v>
      </c>
      <c r="F34" s="4">
        <v>46</v>
      </c>
      <c r="G34" s="4">
        <v>1579</v>
      </c>
      <c r="H34" s="5">
        <v>45151</v>
      </c>
      <c r="I34" s="4">
        <v>72634</v>
      </c>
      <c r="J34" s="4"/>
      <c r="L34" s="9" t="s">
        <v>34</v>
      </c>
      <c r="M34" s="10">
        <v>544</v>
      </c>
    </row>
    <row r="35" spans="1:13" ht="14.4" x14ac:dyDescent="0.3">
      <c r="A35" s="2" t="s">
        <v>87</v>
      </c>
      <c r="B35" s="2" t="s">
        <v>43</v>
      </c>
      <c r="C35" s="2" t="s">
        <v>49</v>
      </c>
      <c r="D35" s="2" t="s">
        <v>46</v>
      </c>
      <c r="E35" s="2" t="s">
        <v>35</v>
      </c>
      <c r="F35" s="4">
        <v>14</v>
      </c>
      <c r="G35" s="4">
        <v>1342</v>
      </c>
      <c r="H35" s="5">
        <v>45158</v>
      </c>
      <c r="I35" s="4">
        <v>18788</v>
      </c>
      <c r="J35" s="4"/>
      <c r="L35" s="9" t="s">
        <v>37</v>
      </c>
      <c r="M35" s="10">
        <v>908</v>
      </c>
    </row>
    <row r="36" spans="1:13" ht="14.4" x14ac:dyDescent="0.3">
      <c r="A36" s="2" t="s">
        <v>88</v>
      </c>
      <c r="B36" s="2" t="s">
        <v>32</v>
      </c>
      <c r="C36" s="2" t="s">
        <v>60</v>
      </c>
      <c r="D36" s="2" t="s">
        <v>37</v>
      </c>
      <c r="E36" s="2" t="s">
        <v>55</v>
      </c>
      <c r="F36" s="4">
        <v>59</v>
      </c>
      <c r="G36" s="4">
        <v>1297</v>
      </c>
      <c r="H36" s="5">
        <v>45165</v>
      </c>
      <c r="I36" s="4">
        <v>76523</v>
      </c>
      <c r="J36" s="4"/>
      <c r="L36" s="9" t="s">
        <v>106</v>
      </c>
      <c r="M36" s="10">
        <v>2610</v>
      </c>
    </row>
    <row r="37" spans="1:13" ht="14.4" x14ac:dyDescent="0.3">
      <c r="A37" s="2" t="s">
        <v>89</v>
      </c>
      <c r="B37" s="2" t="s">
        <v>54</v>
      </c>
      <c r="C37" s="2" t="s">
        <v>49</v>
      </c>
      <c r="D37" s="2" t="s">
        <v>37</v>
      </c>
      <c r="E37" s="2" t="s">
        <v>55</v>
      </c>
      <c r="F37" s="4">
        <v>71</v>
      </c>
      <c r="G37" s="4">
        <v>4518</v>
      </c>
      <c r="H37" s="5">
        <v>45172</v>
      </c>
      <c r="I37" s="4">
        <v>320778</v>
      </c>
      <c r="J37" s="4"/>
    </row>
    <row r="38" spans="1:13" ht="14.4" x14ac:dyDescent="0.3">
      <c r="A38" s="2" t="s">
        <v>90</v>
      </c>
      <c r="B38" s="2" t="s">
        <v>63</v>
      </c>
      <c r="C38" s="2" t="s">
        <v>57</v>
      </c>
      <c r="D38" s="2" t="s">
        <v>46</v>
      </c>
      <c r="E38" s="2" t="s">
        <v>44</v>
      </c>
      <c r="F38" s="4">
        <v>80</v>
      </c>
      <c r="G38" s="4">
        <v>2925</v>
      </c>
      <c r="H38" s="5">
        <v>45179</v>
      </c>
      <c r="I38" s="4">
        <v>234000</v>
      </c>
      <c r="J38" s="4"/>
    </row>
    <row r="39" spans="1:13" ht="14.4" x14ac:dyDescent="0.3">
      <c r="A39" s="2" t="s">
        <v>91</v>
      </c>
      <c r="B39" s="2" t="s">
        <v>40</v>
      </c>
      <c r="C39" s="2" t="s">
        <v>49</v>
      </c>
      <c r="D39" s="2" t="s">
        <v>92</v>
      </c>
      <c r="E39" s="2" t="s">
        <v>44</v>
      </c>
      <c r="F39" s="4">
        <v>57</v>
      </c>
      <c r="G39" s="4">
        <v>4951</v>
      </c>
      <c r="H39" s="5">
        <v>45186</v>
      </c>
      <c r="I39" s="4">
        <v>282207</v>
      </c>
      <c r="J39" s="4"/>
      <c r="K39" s="7">
        <v>4</v>
      </c>
      <c r="L39" s="8" t="s">
        <v>105</v>
      </c>
      <c r="M39" t="s">
        <v>109</v>
      </c>
    </row>
    <row r="40" spans="1:13" ht="14.4" x14ac:dyDescent="0.3">
      <c r="A40" s="2" t="s">
        <v>93</v>
      </c>
      <c r="B40" s="2" t="s">
        <v>43</v>
      </c>
      <c r="C40" s="2" t="s">
        <v>60</v>
      </c>
      <c r="D40" s="2" t="s">
        <v>34</v>
      </c>
      <c r="E40" s="2" t="s">
        <v>35</v>
      </c>
      <c r="F40" s="4">
        <v>37</v>
      </c>
      <c r="G40" s="4">
        <v>1757</v>
      </c>
      <c r="H40" s="5">
        <v>45193</v>
      </c>
      <c r="I40" s="4">
        <v>65009</v>
      </c>
      <c r="J40" s="4"/>
      <c r="L40" s="9" t="s">
        <v>55</v>
      </c>
      <c r="M40" s="10">
        <v>864</v>
      </c>
    </row>
    <row r="41" spans="1:13" ht="14.4" x14ac:dyDescent="0.3">
      <c r="A41" s="2" t="s">
        <v>94</v>
      </c>
      <c r="B41" s="2" t="s">
        <v>32</v>
      </c>
      <c r="C41" s="2" t="s">
        <v>49</v>
      </c>
      <c r="D41" s="2" t="s">
        <v>50</v>
      </c>
      <c r="E41" s="2" t="s">
        <v>55</v>
      </c>
      <c r="F41" s="4">
        <v>24</v>
      </c>
      <c r="G41" s="4">
        <v>4412</v>
      </c>
      <c r="H41" s="5">
        <v>45200</v>
      </c>
      <c r="I41" s="4">
        <v>105888</v>
      </c>
      <c r="J41" s="4"/>
      <c r="L41" s="9" t="s">
        <v>44</v>
      </c>
      <c r="M41" s="10">
        <v>692</v>
      </c>
    </row>
    <row r="42" spans="1:13" ht="14.4" x14ac:dyDescent="0.3">
      <c r="A42" s="2" t="s">
        <v>95</v>
      </c>
      <c r="B42" s="2" t="s">
        <v>73</v>
      </c>
      <c r="C42" s="2" t="s">
        <v>41</v>
      </c>
      <c r="D42" s="2" t="s">
        <v>46</v>
      </c>
      <c r="E42" s="2" t="s">
        <v>35</v>
      </c>
      <c r="F42" s="4">
        <v>14</v>
      </c>
      <c r="G42" s="4">
        <v>1396</v>
      </c>
      <c r="H42" s="5">
        <v>45207</v>
      </c>
      <c r="I42" s="4">
        <v>19544</v>
      </c>
      <c r="J42" s="4"/>
      <c r="L42" s="9" t="s">
        <v>38</v>
      </c>
      <c r="M42" s="10">
        <v>414</v>
      </c>
    </row>
    <row r="43" spans="1:13" ht="14.4" x14ac:dyDescent="0.3">
      <c r="A43" s="2" t="s">
        <v>96</v>
      </c>
      <c r="B43" s="2" t="s">
        <v>54</v>
      </c>
      <c r="C43" s="2" t="s">
        <v>57</v>
      </c>
      <c r="D43" s="2" t="s">
        <v>92</v>
      </c>
      <c r="E43" s="2" t="s">
        <v>55</v>
      </c>
      <c r="F43" s="4">
        <v>65</v>
      </c>
      <c r="G43" s="4">
        <v>4050</v>
      </c>
      <c r="H43" s="5">
        <v>45214</v>
      </c>
      <c r="I43" s="4">
        <v>263250</v>
      </c>
      <c r="J43" s="4"/>
      <c r="L43" s="9" t="s">
        <v>35</v>
      </c>
      <c r="M43" s="10">
        <v>640</v>
      </c>
    </row>
    <row r="44" spans="1:13" ht="14.4" x14ac:dyDescent="0.3">
      <c r="A44" s="2" t="s">
        <v>97</v>
      </c>
      <c r="B44" s="2" t="s">
        <v>48</v>
      </c>
      <c r="C44" s="2" t="s">
        <v>57</v>
      </c>
      <c r="D44" s="2" t="s">
        <v>37</v>
      </c>
      <c r="E44" s="2" t="s">
        <v>55</v>
      </c>
      <c r="F44" s="4">
        <v>99</v>
      </c>
      <c r="G44" s="4">
        <v>3780</v>
      </c>
      <c r="H44" s="5">
        <v>45221</v>
      </c>
      <c r="I44" s="4">
        <v>374220</v>
      </c>
      <c r="J44" s="4"/>
      <c r="L44" s="9" t="s">
        <v>106</v>
      </c>
      <c r="M44" s="10">
        <v>2610</v>
      </c>
    </row>
    <row r="45" spans="1:13" ht="14.4" x14ac:dyDescent="0.3">
      <c r="A45" s="2" t="s">
        <v>98</v>
      </c>
      <c r="B45" s="2" t="s">
        <v>54</v>
      </c>
      <c r="C45" s="2" t="s">
        <v>33</v>
      </c>
      <c r="D45" s="2" t="s">
        <v>34</v>
      </c>
      <c r="E45" s="2" t="s">
        <v>35</v>
      </c>
      <c r="F45" s="4">
        <v>99</v>
      </c>
      <c r="G45" s="4">
        <v>1075</v>
      </c>
      <c r="H45" s="5">
        <v>45228</v>
      </c>
      <c r="I45" s="4">
        <v>106425</v>
      </c>
      <c r="J45" s="4"/>
    </row>
    <row r="46" spans="1:13" ht="14.4" x14ac:dyDescent="0.3">
      <c r="A46" s="2" t="s">
        <v>99</v>
      </c>
      <c r="B46" s="2" t="s">
        <v>43</v>
      </c>
      <c r="C46" s="2" t="s">
        <v>57</v>
      </c>
      <c r="D46" s="2" t="s">
        <v>37</v>
      </c>
      <c r="E46" s="2" t="s">
        <v>35</v>
      </c>
      <c r="F46" s="4">
        <v>82</v>
      </c>
      <c r="G46" s="4">
        <v>2152</v>
      </c>
      <c r="H46" s="5">
        <v>45235</v>
      </c>
      <c r="I46" s="4">
        <v>176464</v>
      </c>
      <c r="J46" s="4"/>
      <c r="K46" s="7">
        <v>5</v>
      </c>
    </row>
    <row r="47" spans="1:13" ht="14.4" x14ac:dyDescent="0.3">
      <c r="A47" s="2" t="s">
        <v>100</v>
      </c>
      <c r="B47" s="2" t="s">
        <v>40</v>
      </c>
      <c r="C47" s="2" t="s">
        <v>33</v>
      </c>
      <c r="D47" s="2" t="s">
        <v>92</v>
      </c>
      <c r="E47" s="2" t="s">
        <v>44</v>
      </c>
      <c r="F47" s="4">
        <v>97</v>
      </c>
      <c r="G47" s="4">
        <v>4983</v>
      </c>
      <c r="H47" s="5">
        <v>45242</v>
      </c>
      <c r="I47" s="4">
        <v>483351</v>
      </c>
      <c r="J47" s="4"/>
    </row>
    <row r="48" spans="1:13" ht="14.4" x14ac:dyDescent="0.3">
      <c r="A48" s="2" t="s">
        <v>101</v>
      </c>
      <c r="B48" s="2" t="s">
        <v>43</v>
      </c>
      <c r="C48" s="2" t="s">
        <v>49</v>
      </c>
      <c r="D48" s="2" t="s">
        <v>34</v>
      </c>
      <c r="E48" s="2" t="s">
        <v>35</v>
      </c>
      <c r="F48" s="4">
        <v>94</v>
      </c>
      <c r="G48" s="4">
        <v>4591</v>
      </c>
      <c r="H48" s="5">
        <v>45249</v>
      </c>
      <c r="I48" s="4">
        <v>431554</v>
      </c>
      <c r="J48" s="4"/>
    </row>
    <row r="49" spans="1:10" ht="14.4" x14ac:dyDescent="0.3">
      <c r="A49" s="2" t="s">
        <v>102</v>
      </c>
      <c r="B49" s="2" t="s">
        <v>48</v>
      </c>
      <c r="C49" s="2" t="s">
        <v>60</v>
      </c>
      <c r="D49" s="2" t="s">
        <v>37</v>
      </c>
      <c r="E49" s="2" t="s">
        <v>35</v>
      </c>
      <c r="F49" s="4">
        <v>63</v>
      </c>
      <c r="G49" s="4">
        <v>1793</v>
      </c>
      <c r="H49" s="5">
        <v>45256</v>
      </c>
      <c r="I49" s="4">
        <v>112959</v>
      </c>
      <c r="J49" s="4"/>
    </row>
    <row r="50" spans="1:10" ht="14.4" x14ac:dyDescent="0.3">
      <c r="A50" s="2" t="s">
        <v>103</v>
      </c>
      <c r="B50" s="2" t="s">
        <v>43</v>
      </c>
      <c r="C50" s="2" t="s">
        <v>49</v>
      </c>
      <c r="D50" s="2" t="s">
        <v>92</v>
      </c>
      <c r="E50" s="2" t="s">
        <v>38</v>
      </c>
      <c r="F50" s="4">
        <v>64</v>
      </c>
      <c r="G50" s="4">
        <v>3764</v>
      </c>
      <c r="H50" s="5">
        <v>45263</v>
      </c>
      <c r="I50" s="4">
        <v>240896</v>
      </c>
      <c r="J50" s="4"/>
    </row>
    <row r="51" spans="1:10" ht="14.4" x14ac:dyDescent="0.3">
      <c r="A51" s="2" t="s">
        <v>104</v>
      </c>
      <c r="B51" s="2" t="s">
        <v>54</v>
      </c>
      <c r="C51" s="2" t="s">
        <v>33</v>
      </c>
      <c r="D51" s="2" t="s">
        <v>92</v>
      </c>
      <c r="E51" s="2" t="s">
        <v>38</v>
      </c>
      <c r="F51" s="4">
        <v>83</v>
      </c>
      <c r="G51" s="4">
        <v>4055</v>
      </c>
      <c r="H51" s="5">
        <v>45270</v>
      </c>
      <c r="I51" s="4">
        <v>336565</v>
      </c>
      <c r="J51" s="4"/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2"/>
  <sheetViews>
    <sheetView workbookViewId="0"/>
  </sheetViews>
  <sheetFormatPr defaultColWidth="12.6640625" defaultRowHeight="15.75" customHeight="1" x14ac:dyDescent="0.25"/>
  <sheetData>
    <row r="1" spans="1:1" ht="15.75" customHeight="1" x14ac:dyDescent="0.3">
      <c r="A1" s="1" t="s">
        <v>0</v>
      </c>
    </row>
    <row r="2" spans="1:1" ht="15.75" customHeight="1" x14ac:dyDescent="0.3">
      <c r="A2" s="2" t="s">
        <v>2</v>
      </c>
    </row>
    <row r="3" spans="1:1" ht="15.75" customHeight="1" x14ac:dyDescent="0.3">
      <c r="A3" s="2" t="s">
        <v>3</v>
      </c>
    </row>
    <row r="4" spans="1:1" ht="15.75" customHeight="1" x14ac:dyDescent="0.3">
      <c r="A4" s="2" t="s">
        <v>4</v>
      </c>
    </row>
    <row r="5" spans="1:1" ht="15.75" customHeight="1" x14ac:dyDescent="0.3">
      <c r="A5" s="2" t="s">
        <v>5</v>
      </c>
    </row>
    <row r="6" spans="1:1" ht="15.75" customHeight="1" x14ac:dyDescent="0.3">
      <c r="A6" s="2" t="s">
        <v>6</v>
      </c>
    </row>
    <row r="7" spans="1:1" ht="15.75" customHeight="1" x14ac:dyDescent="0.3">
      <c r="A7" s="2" t="s">
        <v>7</v>
      </c>
    </row>
    <row r="8" spans="1:1" ht="15.75" customHeight="1" x14ac:dyDescent="0.3">
      <c r="A8" s="2" t="s">
        <v>8</v>
      </c>
    </row>
    <row r="9" spans="1:1" ht="15.75" customHeight="1" x14ac:dyDescent="0.3">
      <c r="A9" s="2" t="s">
        <v>9</v>
      </c>
    </row>
    <row r="10" spans="1:1" ht="15.75" customHeight="1" x14ac:dyDescent="0.3">
      <c r="A10" s="2" t="s">
        <v>10</v>
      </c>
    </row>
    <row r="11" spans="1:1" ht="15.75" customHeight="1" x14ac:dyDescent="0.3">
      <c r="A11" s="2" t="s">
        <v>11</v>
      </c>
    </row>
    <row r="12" spans="1:1" ht="15.75" customHeight="1" x14ac:dyDescent="0.3">
      <c r="A12" s="1" t="s">
        <v>12</v>
      </c>
    </row>
    <row r="13" spans="1:1" ht="15.75" customHeight="1" x14ac:dyDescent="0.3">
      <c r="A13" s="2" t="s">
        <v>13</v>
      </c>
    </row>
    <row r="14" spans="1:1" ht="15.75" customHeight="1" x14ac:dyDescent="0.3">
      <c r="A14" s="2" t="s">
        <v>14</v>
      </c>
    </row>
    <row r="15" spans="1:1" ht="15.75" customHeight="1" x14ac:dyDescent="0.3">
      <c r="A15" s="2" t="s">
        <v>15</v>
      </c>
    </row>
    <row r="16" spans="1:1" ht="15.75" customHeight="1" x14ac:dyDescent="0.3">
      <c r="A16" s="2" t="s">
        <v>17</v>
      </c>
    </row>
    <row r="17" spans="1:1" ht="15.75" customHeight="1" x14ac:dyDescent="0.3">
      <c r="A17" s="2" t="s">
        <v>18</v>
      </c>
    </row>
    <row r="18" spans="1:1" ht="15.75" customHeight="1" x14ac:dyDescent="0.3">
      <c r="A18" s="2" t="s">
        <v>19</v>
      </c>
    </row>
    <row r="19" spans="1:1" ht="15.75" customHeight="1" x14ac:dyDescent="0.3">
      <c r="A19" s="2" t="s">
        <v>21</v>
      </c>
    </row>
    <row r="20" spans="1:1" ht="15.75" customHeight="1" x14ac:dyDescent="0.3">
      <c r="A20" s="2" t="s">
        <v>23</v>
      </c>
    </row>
    <row r="21" spans="1:1" ht="15.75" customHeight="1" x14ac:dyDescent="0.3">
      <c r="A21" s="2" t="s">
        <v>25</v>
      </c>
    </row>
    <row r="22" spans="1:1" ht="15.75" customHeight="1" x14ac:dyDescent="0.3">
      <c r="A2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Neharin Navas</cp:lastModifiedBy>
  <dcterms:modified xsi:type="dcterms:W3CDTF">2026-08-11T05:04:50Z</dcterms:modified>
</cp:coreProperties>
</file>